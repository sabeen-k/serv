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4810" windowHeight="8010"/>
  </bookViews>
  <sheets>
    <sheet name="Prime" sheetId="1" r:id="rId1"/>
    <sheet name="Laxmi" sheetId="2" r:id="rId2"/>
    <sheet name="Citizens" sheetId="3" r:id="rId3"/>
    <sheet name="NIC Asia" sheetId="4" r:id="rId4"/>
    <sheet name="Machhapuchre" sheetId="5" r:id="rId5"/>
    <sheet name="Global" sheetId="6" r:id="rId6"/>
    <sheet name="Himalayan" sheetId="7" r:id="rId7"/>
    <sheet name="Nepal Investment" sheetId="8" r:id="rId8"/>
  </sheets>
  <definedNames>
    <definedName name="_xlnm.Sheet_Title" localSheetId="0">"Prime"</definedName>
    <definedName name="_xlnm.Print_Area" localSheetId="0">#REF!</definedName>
    <definedName name="_xlnm.Sheet_Title" localSheetId="1">"Laxmi"</definedName>
    <definedName name="_xlnm.Print_Area" localSheetId="1">#REF!</definedName>
    <definedName name="_xlnm.Sheet_Title" localSheetId="2">"Citizens"</definedName>
    <definedName name="_xlnm.Print_Area" localSheetId="2">#REF!</definedName>
    <definedName name="_xlnm.Sheet_Title" localSheetId="3">"NIC Asia"</definedName>
    <definedName name="_xlnm.Print_Area" localSheetId="3">#REF!</definedName>
    <definedName name="_xlnm.Sheet_Title" localSheetId="4">"Machhapuchre"</definedName>
    <definedName name="_xlnm.Print_Area" localSheetId="4">#REF!</definedName>
    <definedName name="_xlnm.Sheet_Title" localSheetId="5">"Global"</definedName>
    <definedName name="_xlnm.Print_Area" localSheetId="5">#REF!</definedName>
    <definedName name="_xlnm.Sheet_Title" localSheetId="6">"Himalayan"</definedName>
    <definedName name="_xlnm.Print_Area" localSheetId="6">#REF!</definedName>
    <definedName name="_xlnm.Sheet_Title" localSheetId="7">"Nepal Investment"</definedName>
    <definedName name="_xlnm.Print_Area" localSheetId="7">#REF!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<sst xmlns="http://schemas.openxmlformats.org/spreadsheetml/2006/main" uniqueCount="25" count="25">
  <si>
    <t>SN</t>
  </si>
  <si>
    <t>Name</t>
  </si>
  <si>
    <t>Business</t>
  </si>
  <si>
    <t>Total</t>
  </si>
  <si>
    <t>%</t>
  </si>
  <si>
    <t>Remarks</t>
  </si>
  <si>
    <t>Aaditya Chaudhary</t>
  </si>
  <si>
    <t>Pass</t>
  </si>
  <si>
    <t>Fail</t>
  </si>
  <si>
    <t>Abs</t>
  </si>
  <si>
    <t>A</t>
  </si>
  <si>
    <t>English</t>
  </si>
  <si>
    <t>Nepali</t>
  </si>
  <si>
    <t>Social</t>
  </si>
  <si>
    <t>Acc</t>
  </si>
  <si>
    <t>Eco</t>
  </si>
  <si>
    <t>Alisha Chapagain</t>
  </si>
  <si>
    <t>abs</t>
  </si>
  <si>
    <t>Saksham Dahal</t>
  </si>
  <si>
    <t>Abs.</t>
  </si>
  <si>
    <t>ABS</t>
  </si>
  <si>
    <t>Comp</t>
  </si>
  <si>
    <t>Nikita Chaudhary</t>
  </si>
  <si>
    <t>Computer</t>
  </si>
  <si>
    <t>Saugat Rai</t>
  </si>
</sst>
</file>

<file path=xl/styles.xml><?xml version="1.0" encoding="utf-8"?>
<styleSheet xmlns="http://schemas.openxmlformats.org/spreadsheetml/2006/main">
  <fonts count="9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Calibri"/>
      <vertAlign val="baseline"/>
      <sz val="11"/>
      <strike val="0"/>
    </font>
    <font>
      <b val="0"/>
      <i val="0"/>
      <u val="none"/>
      <color rgb="FF000000"/>
      <name val="Arial"/>
      <vertAlign val="baseline"/>
      <sz val="10"/>
      <strike val="0"/>
    </font>
    <font>
      <b val="1"/>
      <i val="0"/>
      <u val="none"/>
      <color rgb="FF000000"/>
      <name val="Arial"/>
      <vertAlign val="baseline"/>
      <sz val="13"/>
      <strike val="0"/>
    </font>
    <font>
      <b val="1"/>
      <i val="0"/>
      <u val="none"/>
      <color rgb="FF000000"/>
      <name val="Times New Roman"/>
      <vertAlign val="baseline"/>
      <sz val="10"/>
      <strike val="0"/>
    </font>
    <font>
      <b val="1"/>
      <i val="0"/>
      <u val="none"/>
      <color rgb="FF000000"/>
      <name val="Times New Roman"/>
      <vertAlign val="baseline"/>
      <sz val="11"/>
      <strike val="0"/>
    </font>
    <font>
      <b val="0"/>
      <i val="0"/>
      <u val="none"/>
      <color rgb="FF000000"/>
      <name val="Times New Roman"/>
      <vertAlign val="baseline"/>
      <sz val="11"/>
      <strike val="0"/>
    </font>
    <font>
      <b val="1"/>
      <i val="0"/>
      <u val="none"/>
      <color rgb="FF000000"/>
      <name val="Arial"/>
      <vertAlign val="baseline"/>
      <sz val="11"/>
      <strike val="0"/>
    </font>
    <font>
      <b val="0"/>
      <i val="0"/>
      <u val="none"/>
      <color rgb="FF000000"/>
      <name val="Times New Roman"/>
      <vertAlign val="baseline"/>
      <sz val="10"/>
      <strike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5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  <border diagonalUp="0" diagonalDown="0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 diagonalUp="0" diagonalDown="0">
      <left style="thin">
        <color rgb="FF000000"/>
      </left>
      <right style="none">
        <color rgb="FFC7C7C7"/>
      </right>
      <top style="thin">
        <color rgb="FF000000"/>
      </top>
      <bottom style="thin">
        <color rgb="FF000000"/>
      </bottom>
    </border>
    <border diagonalUp="0" diagonalDown="0">
      <left style="none">
        <color rgb="FFC7C7C7"/>
      </left>
      <right style="none">
        <color rgb="FFC7C7C7"/>
      </right>
      <top style="thin">
        <color rgb="FF000000"/>
      </top>
      <bottom style="thin">
        <color rgb="FF000000"/>
      </bottom>
    </border>
    <border diagonalUp="0" diagonalDown="0">
      <left style="none">
        <color rgb="FFC7C7C7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18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2" borderId="1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2" borderId="1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1" fillId="2" borderId="1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4" fillId="2" borderId="1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2" fillId="2" borderId="1" numFmtId="0" xfId="0">
      <alignment horizontal="center" vertical="bottom" wrapText="1" shrinkToFit="0" textRotation="0" indent="0"/>
      <protection locked="1" hidden="0"/>
    </xf>
    <xf applyAlignment="1" applyBorder="1" applyFont="1" applyFill="1" applyNumberFormat="1" fontId="5" fillId="2" borderId="1" numFmtId="0" xfId="0">
      <alignment horizontal="center" vertical="bottom" wrapText="1" shrinkToFit="0" textRotation="0" indent="0"/>
      <protection locked="1" hidden="0"/>
    </xf>
    <xf applyAlignment="1" applyBorder="1" applyFont="1" applyFill="1" applyNumberFormat="1" fontId="6" fillId="2" borderId="1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2" fillId="2" borderId="1" numFmtId="0" xfId="0">
      <alignment horizontal="right" vertical="bottom" wrapText="1" shrinkToFit="0" textRotation="0" indent="0"/>
      <protection locked="1" hidden="0"/>
    </xf>
    <xf applyAlignment="1" applyBorder="1" applyFont="1" applyFill="1" applyNumberFormat="1" fontId="7" fillId="2" borderId="1" numFmtId="0" xfId="0">
      <alignment horizontal="center" vertical="bottom" wrapText="1" shrinkToFit="0" textRotation="0" indent="0"/>
      <protection locked="1" hidden="0"/>
    </xf>
    <xf applyAlignment="1" applyBorder="1" applyFont="1" applyFill="1" applyNumberFormat="1" fontId="4" fillId="2" borderId="1" numFmtId="0" xfId="0">
      <alignment horizontal="right" vertical="bottom" wrapText="1" shrinkToFit="0" textRotation="0" indent="0"/>
      <protection locked="1" hidden="0"/>
    </xf>
    <xf applyAlignment="1" applyBorder="1" applyFont="1" applyFill="1" applyNumberFormat="1" fontId="8" fillId="2" borderId="1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2" fillId="2" borderId="1" numFmtId="2" xfId="0">
      <alignment horizontal="right" vertical="bottom" wrapText="1" shrinkToFit="0" textRotation="0" indent="0"/>
      <protection locked="1" hidden="0"/>
    </xf>
    <xf applyAlignment="1" applyBorder="1" applyFont="1" applyFill="1" applyNumberFormat="1" fontId="5" fillId="2" borderId="1" numFmtId="0" xfId="0">
      <alignment horizontal="right" vertical="bottom" wrapText="1" shrinkToFit="0" textRotation="0" indent="0"/>
      <protection locked="1" hidden="0"/>
    </xf>
    <xf applyAlignment="1" applyBorder="1" applyFont="1" applyFill="1" applyNumberFormat="1" fontId="3" fillId="2" borderId="2" numFmtId="0" xfId="0">
      <alignment horizontal="left" vertical="bottom" wrapText="1" shrinkToFit="0" textRotation="0" indent="0"/>
      <protection locked="1" hidden="0"/>
    </xf>
    <xf applyAlignment="1" applyBorder="1" applyFont="1" applyFill="1" applyNumberFormat="1" fontId="3" fillId="2" borderId="3" numFmtId="0" xfId="0">
      <alignment horizontal="left" vertical="bottom" wrapText="1" shrinkToFit="0" textRotation="0" indent="0"/>
      <protection locked="1" hidden="0"/>
    </xf>
    <xf applyAlignment="1" applyBorder="1" applyFont="1" applyFill="1" applyNumberFormat="1" fontId="3" fillId="2" borderId="4" numFmtId="0" xfId="0">
      <alignment horizontal="left" vertical="bottom" wrapText="1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10" Type="http://schemas.openxmlformats.org/officeDocument/2006/relationships/styles" Target="styles.xml"/>
  <Relationship Id="rId9" Type="http://schemas.openxmlformats.org/officeDocument/2006/relationships/sharedStrings" Target="sharedStrings.xml"/>
  <Relationship Id="rId8" Type="http://schemas.openxmlformats.org/officeDocument/2006/relationships/worksheet" Target="worksheets/sheet8.xml"/>
  <Relationship Id="rId7" Type="http://schemas.openxmlformats.org/officeDocument/2006/relationships/worksheet" Target="worksheets/sheet7.xml"/>
  <Relationship Id="rId6" Type="http://schemas.openxmlformats.org/officeDocument/2006/relationships/worksheet" Target="worksheets/sheet6.xml"/>
  <Relationship Id="rId5" Type="http://schemas.openxmlformats.org/officeDocument/2006/relationships/worksheet" Target="worksheets/sheet5.xml"/>
  <Relationship Id="rId4" Type="http://schemas.openxmlformats.org/officeDocument/2006/relationships/worksheet" Target="worksheets/sheet4.xml"/>
  <Relationship Id="rId3" Type="http://schemas.openxmlformats.org/officeDocument/2006/relationships/worksheet" Target="worksheets/sheet3.xml"/>
  <Relationship Id="rId2" Type="http://schemas.openxmlformats.org/officeDocument/2006/relationships/worksheet" Target="worksheets/sheet2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L48"/>
  <sheetViews>
    <sheetView workbookViewId="0" zoomScale="85" tabSelected="1">
      <selection activeCell="F3" sqref="F3"/>
    </sheetView>
  </sheetViews>
  <sheetFormatPr defaultColWidth="67.5" defaultRowHeight="15"/>
  <cols>
    <col min="1" max="12" style="1" width="18.570312500000004" customWidth="1"/>
    <col min="13" max="16384" style="1" width="12.856370192307693"/>
  </cols>
  <sheetData>
    <row r="1" spans="1:12" customHeight="1" ht="21.95">
      <c r="A1" s="2"/>
      <c r="B1" s="3" t="inlineStr">
        <is>
          <t>PRIME-XI</t>
        </is>
      </c>
      <c r="C1" s="2"/>
      <c r="D1" s="2"/>
      <c r="E1" s="2"/>
      <c r="F1" s="2"/>
      <c r="G1" s="2"/>
      <c r="H1" s="2"/>
      <c r="I1" s="2"/>
      <c r="J1" s="2"/>
      <c r="K1" s="2"/>
      <c r="L1" s="4"/>
    </row>
    <row r="2" spans="1:12" customHeight="1" ht="21.95">
      <c r="A2" s="5" t="s">
        <v>0</v>
      </c>
      <c r="B2" s="5" t="s">
        <v>1</v>
      </c>
      <c r="C2" s="6" t="inlineStr">
        <is>
          <t>C. English</t>
        </is>
      </c>
      <c r="D2" s="6" t="inlineStr">
        <is>
          <t>C. Nepali</t>
        </is>
      </c>
      <c r="E2" s="6" t="inlineStr">
        <is>
          <t>C. Social</t>
        </is>
      </c>
      <c r="F2" s="6" t="inlineStr">
        <is>
          <t>Accounting</t>
        </is>
      </c>
      <c r="G2" s="6" t="inlineStr">
        <is>
          <t>Economics</t>
        </is>
      </c>
      <c r="H2" s="6" t="s">
        <v>2</v>
      </c>
      <c r="I2" s="6" t="inlineStr">
        <is>
          <t>B. Maths</t>
        </is>
      </c>
      <c r="J2" s="6" t="s">
        <v>3</v>
      </c>
      <c r="K2" s="6" t="s">
        <v>4</v>
      </c>
      <c r="L2" s="6" t="s">
        <v>5</v>
      </c>
    </row>
    <row r="3" spans="1:12" customHeight="1" ht="21.95">
      <c r="A3" s="7">
        <v>3001</v>
      </c>
      <c r="B3" s="8" t="s">
        <v>6</v>
      </c>
      <c r="C3" s="9">
        <v>25</v>
      </c>
      <c r="D3" s="9">
        <v>34</v>
      </c>
      <c r="E3" s="9">
        <v>31</v>
      </c>
      <c r="F3" s="9">
        <v>37</v>
      </c>
      <c r="G3" s="9">
        <v>28</v>
      </c>
      <c r="H3" s="9">
        <v>32</v>
      </c>
      <c r="I3" s="2"/>
      <c r="J3" s="9">
        <f>SUM(C3:I3)</f>
        <v>187</v>
      </c>
      <c r="K3" s="9">
        <f>J3/300*100</f>
        <v>62.333333333333329</v>
      </c>
      <c r="L3" s="4" t="s">
        <f>IF(AND(MIN(C3:G3)&gt;17,OR(H3&gt;17,I3&gt;17)),"Pass","Fail")</f>
        <v>7</v>
      </c>
    </row>
    <row r="4" spans="1:12" customHeight="1" ht="21.95">
      <c r="A4" s="7">
        <v>3002</v>
      </c>
      <c r="B4" s="8" t="inlineStr">
        <is>
          <t>Aaisha Khatun</t>
        </is>
      </c>
      <c r="C4" s="9">
        <v>36</v>
      </c>
      <c r="D4" s="9">
        <v>40</v>
      </c>
      <c r="E4" s="9">
        <v>40</v>
      </c>
      <c r="F4" s="9">
        <v>34</v>
      </c>
      <c r="G4" s="9">
        <v>38</v>
      </c>
      <c r="H4" s="2"/>
      <c r="I4" s="9">
        <v>45</v>
      </c>
      <c r="J4" s="9">
        <f>SUM(C4:I4)</f>
        <v>233</v>
      </c>
      <c r="K4" s="9">
        <f>J4/300*100</f>
        <v>77.666666666666657</v>
      </c>
      <c r="L4" s="4" t="s">
        <f>IF(AND(MIN(C4:G4)&gt;17,OR(H4&gt;17,I4&gt;17)),"Pass","Fail")</f>
        <v>7</v>
      </c>
    </row>
    <row r="5" spans="1:12" customHeight="1" ht="21.95">
      <c r="A5" s="7">
        <v>3003</v>
      </c>
      <c r="B5" s="8" t="inlineStr">
        <is>
          <t>Aksara Shah</t>
        </is>
      </c>
      <c r="C5" s="9">
        <v>38</v>
      </c>
      <c r="D5" s="9">
        <v>36</v>
      </c>
      <c r="E5" s="9">
        <v>37</v>
      </c>
      <c r="F5" s="9">
        <v>21</v>
      </c>
      <c r="G5" s="9">
        <v>34</v>
      </c>
      <c r="H5" s="2"/>
      <c r="I5" s="9">
        <v>45</v>
      </c>
      <c r="J5" s="9">
        <f>SUM(C5:I5)</f>
        <v>211</v>
      </c>
      <c r="K5" s="9">
        <f>J5/300*100</f>
        <v>70.333333333333343</v>
      </c>
      <c r="L5" s="4" t="s">
        <f>IF(AND(MIN(C5:G5)&gt;17,OR(H5&gt;17,I5&gt;17)),"Pass","Fail")</f>
        <v>7</v>
      </c>
    </row>
    <row r="6" spans="1:12" customHeight="1" ht="21.95">
      <c r="A6" s="7">
        <v>3004</v>
      </c>
      <c r="B6" s="8" t="inlineStr">
        <is>
          <t>Alisha Poudel</t>
        </is>
      </c>
      <c r="C6" s="9">
        <v>23</v>
      </c>
      <c r="D6" s="9">
        <v>31</v>
      </c>
      <c r="E6" s="9">
        <v>25</v>
      </c>
      <c r="F6" s="9">
        <v>30</v>
      </c>
      <c r="G6" s="9">
        <v>25</v>
      </c>
      <c r="H6" s="9">
        <v>26</v>
      </c>
      <c r="I6" s="2"/>
      <c r="J6" s="9">
        <f>SUM(C6:I6)</f>
        <v>160</v>
      </c>
      <c r="K6" s="9">
        <f>J6/300*100</f>
        <v>53.333333333333336</v>
      </c>
      <c r="L6" s="4" t="s">
        <f>IF(AND(MIN(C6:G6)&gt;17,OR(H6&gt;17,I6&gt;17)),"Pass","Fail")</f>
        <v>7</v>
      </c>
    </row>
    <row r="7" spans="1:12" customHeight="1" ht="21.95">
      <c r="A7" s="7">
        <v>3005</v>
      </c>
      <c r="B7" s="8" t="inlineStr">
        <is>
          <t>Anisha Sardar</t>
        </is>
      </c>
      <c r="C7" s="9">
        <v>3</v>
      </c>
      <c r="D7" s="9">
        <v>18</v>
      </c>
      <c r="E7" s="9">
        <v>1</v>
      </c>
      <c r="F7" s="9">
        <v>8</v>
      </c>
      <c r="G7" s="9">
        <v>18</v>
      </c>
      <c r="H7" s="9">
        <v>12</v>
      </c>
      <c r="I7" s="2"/>
      <c r="J7" s="9">
        <f>SUM(C7:I7)</f>
        <v>60</v>
      </c>
      <c r="K7" s="9">
        <f>J7/300*100</f>
        <v>20</v>
      </c>
      <c r="L7" s="4" t="s">
        <f>IF(AND(MIN(C7:G7)&gt;17,OR(H7&gt;17,I7&gt;17)),"Pass","Fail")</f>
        <v>8</v>
      </c>
    </row>
    <row r="8" spans="1:12" customHeight="1" ht="21.95">
      <c r="A8" s="7">
        <v>3006</v>
      </c>
      <c r="B8" s="8" t="inlineStr">
        <is>
          <t>Anjana Sardar</t>
        </is>
      </c>
      <c r="C8" s="9">
        <v>5</v>
      </c>
      <c r="D8" s="9">
        <v>14</v>
      </c>
      <c r="E8" s="9">
        <v>1</v>
      </c>
      <c r="F8" s="9">
        <v>8</v>
      </c>
      <c r="G8" s="9">
        <v>13</v>
      </c>
      <c r="H8" s="9">
        <v>18</v>
      </c>
      <c r="I8" s="2"/>
      <c r="J8" s="9">
        <f>SUM(C8:I8)</f>
        <v>59</v>
      </c>
      <c r="K8" s="9">
        <f>J8/300*100</f>
        <v>19.666666666666664</v>
      </c>
      <c r="L8" s="4" t="s">
        <f>IF(AND(MIN(C8:G8)&gt;17,OR(H8&gt;17,I8&gt;17)),"Pass","Fail")</f>
        <v>8</v>
      </c>
    </row>
    <row r="9" spans="1:12" customHeight="1" ht="21.95">
      <c r="A9" s="7">
        <v>3007</v>
      </c>
      <c r="B9" s="8" t="inlineStr">
        <is>
          <t>Anshu Karki</t>
        </is>
      </c>
      <c r="C9" s="9">
        <v>18</v>
      </c>
      <c r="D9" s="9">
        <v>23</v>
      </c>
      <c r="E9" s="9">
        <v>2</v>
      </c>
      <c r="F9" s="9">
        <v>14</v>
      </c>
      <c r="G9" s="9">
        <v>18</v>
      </c>
      <c r="H9" s="9">
        <v>18</v>
      </c>
      <c r="I9" s="2"/>
      <c r="J9" s="9">
        <f>SUM(C9:I9)</f>
        <v>93</v>
      </c>
      <c r="K9" s="9">
        <f>J9/300*100</f>
        <v>31</v>
      </c>
      <c r="L9" s="4" t="s">
        <f>IF(AND(MIN(C9:G9)&gt;17,OR(H9&gt;17,I9&gt;17)),"Pass","Fail")</f>
        <v>8</v>
      </c>
    </row>
    <row r="10" spans="1:12" customHeight="1" ht="21.95">
      <c r="A10" s="7">
        <v>3008</v>
      </c>
      <c r="B10" s="8" t="inlineStr">
        <is>
          <t>Babish Pokharel</t>
        </is>
      </c>
      <c r="C10" s="9">
        <v>22</v>
      </c>
      <c r="D10" s="9">
        <v>24</v>
      </c>
      <c r="E10" s="9">
        <v>3</v>
      </c>
      <c r="F10" s="9">
        <v>10</v>
      </c>
      <c r="G10" s="9">
        <v>20</v>
      </c>
      <c r="H10" s="9">
        <v>21</v>
      </c>
      <c r="I10" s="2"/>
      <c r="J10" s="9">
        <f>SUM(C10:I10)</f>
        <v>100</v>
      </c>
      <c r="K10" s="9">
        <f>J10/300*100</f>
        <v>33.333333333333329</v>
      </c>
      <c r="L10" s="4" t="s">
        <f>IF(AND(MIN(C10:G10)&gt;17,OR(H10&gt;17,I10&gt;17)),"Pass","Fail")</f>
        <v>8</v>
      </c>
    </row>
    <row r="11" spans="1:12" customHeight="1" ht="21.95">
      <c r="A11" s="7">
        <v>3009</v>
      </c>
      <c r="B11" s="8" t="inlineStr">
        <is>
          <t>Bhumika Basnet.</t>
        </is>
      </c>
      <c r="C11" s="9">
        <v>32</v>
      </c>
      <c r="D11" s="9">
        <v>39</v>
      </c>
      <c r="E11" s="9">
        <v>34</v>
      </c>
      <c r="F11" s="9">
        <v>13</v>
      </c>
      <c r="G11" s="9">
        <v>26</v>
      </c>
      <c r="H11" s="2"/>
      <c r="I11" s="9">
        <v>40</v>
      </c>
      <c r="J11" s="9">
        <f>SUM(C11:I11)</f>
        <v>184</v>
      </c>
      <c r="K11" s="9">
        <f>J11/300*100</f>
        <v>61.333333333333329</v>
      </c>
      <c r="L11" s="4" t="s">
        <f>IF(AND(MIN(C11:G11)&gt;17,OR(H11&gt;17,I11&gt;17)),"Pass","Fail")</f>
        <v>8</v>
      </c>
    </row>
    <row r="12" spans="1:12" customHeight="1" ht="21.95">
      <c r="A12" s="7">
        <v>3010</v>
      </c>
      <c r="B12" s="8" t="inlineStr">
        <is>
          <t>Bidhya Niroula</t>
        </is>
      </c>
      <c r="C12" s="9">
        <v>33</v>
      </c>
      <c r="D12" s="9">
        <v>40</v>
      </c>
      <c r="E12" s="9">
        <v>37</v>
      </c>
      <c r="F12" s="9">
        <v>26</v>
      </c>
      <c r="G12" s="9">
        <v>34</v>
      </c>
      <c r="H12" s="9">
        <v>33</v>
      </c>
      <c r="I12" s="2"/>
      <c r="J12" s="9">
        <f>SUM(C12:I12)</f>
        <v>203</v>
      </c>
      <c r="K12" s="9">
        <f>J12/300*100</f>
        <v>67.666666666666657</v>
      </c>
      <c r="L12" s="4" t="s">
        <f>IF(AND(MIN(C12:G12)&gt;17,OR(H12&gt;17,I12&gt;17)),"Pass","Fail")</f>
        <v>7</v>
      </c>
    </row>
    <row r="13" spans="1:12" customHeight="1" ht="21.95">
      <c r="A13" s="7">
        <v>3011</v>
      </c>
      <c r="B13" s="8" t="inlineStr">
        <is>
          <t>Bishal poudel</t>
        </is>
      </c>
      <c r="C13" s="9">
        <v>30</v>
      </c>
      <c r="D13" s="9">
        <v>36</v>
      </c>
      <c r="E13" s="9">
        <v>40</v>
      </c>
      <c r="F13" s="9">
        <v>18</v>
      </c>
      <c r="G13" s="9">
        <v>21</v>
      </c>
      <c r="H13" s="2"/>
      <c r="I13" s="9">
        <v>40</v>
      </c>
      <c r="J13" s="9">
        <f>SUM(C13:I13)</f>
        <v>185</v>
      </c>
      <c r="K13" s="9">
        <f>J13/300*100</f>
        <v>61.666666666666671</v>
      </c>
      <c r="L13" s="4" t="s">
        <f>IF(AND(MIN(C13:G13)&gt;17,OR(H13&gt;17,I13&gt;17)),"Pass","Fail")</f>
        <v>7</v>
      </c>
    </row>
    <row r="14" spans="1:12" customHeight="1" ht="21.95">
      <c r="A14" s="7">
        <v>3012</v>
      </c>
      <c r="B14" s="8" t="inlineStr">
        <is>
          <t>Bivek Dhakal</t>
        </is>
      </c>
      <c r="C14" s="2"/>
      <c r="D14" s="2" t="s">
        <v>9</v>
      </c>
      <c r="E14" s="2" t="s">
        <v>9</v>
      </c>
      <c r="F14" s="2" t="s">
        <v>10</v>
      </c>
      <c r="G14" s="2" t="s">
        <v>10</v>
      </c>
      <c r="H14" s="2" t="s">
        <v>10</v>
      </c>
      <c r="I14" s="2" t="s">
        <v>10</v>
      </c>
      <c r="J14" s="9">
        <f>SUM(C14:I14)</f>
        <v>0</v>
      </c>
      <c r="K14" s="9">
        <f>J14/300*100</f>
        <v>0</v>
      </c>
      <c r="L14" s="4" t="s">
        <f>IF(AND(MIN(C14:G14)&gt;17,OR(H14&gt;17,I14&gt;17)),"Pass","Fail")</f>
        <v>8</v>
      </c>
    </row>
    <row r="15" spans="1:12" customHeight="1" ht="21.95">
      <c r="A15" s="7">
        <v>3013</v>
      </c>
      <c r="B15" s="8" t="inlineStr">
        <is>
          <t>Deepa Magar</t>
        </is>
      </c>
      <c r="C15" s="9">
        <v>41</v>
      </c>
      <c r="D15" s="9">
        <v>43</v>
      </c>
      <c r="E15" s="9">
        <v>46</v>
      </c>
      <c r="F15" s="9">
        <v>44</v>
      </c>
      <c r="G15" s="9">
        <v>43</v>
      </c>
      <c r="H15" s="2"/>
      <c r="I15" s="9">
        <v>49</v>
      </c>
      <c r="J15" s="9">
        <f>SUM(C15:I15)</f>
        <v>266</v>
      </c>
      <c r="K15" s="9">
        <f>J15/300*100</f>
        <v>88.666666666666671</v>
      </c>
      <c r="L15" s="4" t="s">
        <f>IF(AND(MIN(C15:G15)&gt;17,OR(H15&gt;17,I15&gt;17)),"Pass","Fail")</f>
        <v>7</v>
      </c>
    </row>
    <row r="16" spans="1:12" customHeight="1" ht="21.95">
      <c r="A16" s="7">
        <v>3014</v>
      </c>
      <c r="B16" s="8" t="inlineStr">
        <is>
          <t>Dibash Adhikari</t>
        </is>
      </c>
      <c r="C16" s="9">
        <v>32</v>
      </c>
      <c r="D16" s="9">
        <v>39</v>
      </c>
      <c r="E16" s="9">
        <v>40</v>
      </c>
      <c r="F16" s="9">
        <v>27</v>
      </c>
      <c r="G16" s="9">
        <v>27</v>
      </c>
      <c r="H16" s="2"/>
      <c r="I16" s="9">
        <v>31</v>
      </c>
      <c r="J16" s="9">
        <f>SUM(C16:I16)</f>
        <v>196</v>
      </c>
      <c r="K16" s="9">
        <f>J16/300*100</f>
        <v>65.333333333333329</v>
      </c>
      <c r="L16" s="4" t="s">
        <f>IF(AND(MIN(C16:G16)&gt;17,OR(H16&gt;17,I16&gt;17)),"Pass","Fail")</f>
        <v>7</v>
      </c>
    </row>
    <row r="17" spans="1:12" customHeight="1" ht="21.95">
      <c r="A17" s="7">
        <v>3015</v>
      </c>
      <c r="B17" s="8" t="inlineStr">
        <is>
          <t>DiPika Katuwal</t>
        </is>
      </c>
      <c r="C17" s="9">
        <v>35</v>
      </c>
      <c r="D17" s="9">
        <v>35</v>
      </c>
      <c r="E17" s="9">
        <v>42</v>
      </c>
      <c r="F17" s="9">
        <v>38</v>
      </c>
      <c r="G17" s="9">
        <v>38</v>
      </c>
      <c r="H17" s="2"/>
      <c r="I17" s="9">
        <v>45</v>
      </c>
      <c r="J17" s="9">
        <f>SUM(C17:I17)</f>
        <v>233</v>
      </c>
      <c r="K17" s="9">
        <f>J17/300*100</f>
        <v>77.666666666666657</v>
      </c>
      <c r="L17" s="4" t="s">
        <f>IF(AND(MIN(C17:G17)&gt;17,OR(H17&gt;17,I17&gt;17)),"Pass","Fail")</f>
        <v>7</v>
      </c>
    </row>
    <row r="18" spans="1:12" customHeight="1" ht="21.95">
      <c r="A18" s="7">
        <v>3016</v>
      </c>
      <c r="B18" s="8" t="inlineStr">
        <is>
          <t>Elina Bista</t>
        </is>
      </c>
      <c r="C18" s="9">
        <v>33</v>
      </c>
      <c r="D18" s="9">
        <v>37</v>
      </c>
      <c r="E18" s="9">
        <v>42</v>
      </c>
      <c r="F18" s="9">
        <v>32</v>
      </c>
      <c r="G18" s="2">
        <v>33</v>
      </c>
      <c r="H18" s="2"/>
      <c r="I18" s="9">
        <v>30</v>
      </c>
      <c r="J18" s="9">
        <f>SUM(C18:I18)</f>
        <v>207</v>
      </c>
      <c r="K18" s="9">
        <f>J18/300*100</f>
        <v>69</v>
      </c>
      <c r="L18" s="4" t="s">
        <f>IF(AND(MIN(C18:G18)&gt;17,OR(H18&gt;17,I18&gt;17)),"Pass","Fail")</f>
        <v>7</v>
      </c>
    </row>
    <row r="19" spans="1:12" customHeight="1" ht="21.95">
      <c r="A19" s="7">
        <v>3017</v>
      </c>
      <c r="B19" s="8" t="inlineStr">
        <is>
          <t>Jiban Thapa</t>
        </is>
      </c>
      <c r="C19" s="9">
        <v>24</v>
      </c>
      <c r="D19" s="9">
        <v>36</v>
      </c>
      <c r="E19" s="9">
        <v>25</v>
      </c>
      <c r="F19" s="9">
        <v>40</v>
      </c>
      <c r="G19" s="2">
        <v>39</v>
      </c>
      <c r="H19" s="9">
        <v>32</v>
      </c>
      <c r="I19" s="2"/>
      <c r="J19" s="9">
        <f>SUM(C19:I19)</f>
        <v>196</v>
      </c>
      <c r="K19" s="9">
        <f>J19/300*100</f>
        <v>65.333333333333329</v>
      </c>
      <c r="L19" s="4" t="s">
        <f>IF(AND(MIN(C19:G19)&gt;17,OR(H19&gt;17,I19&gt;17)),"Pass","Fail")</f>
        <v>7</v>
      </c>
    </row>
    <row r="20" spans="1:12" customHeight="1" ht="21.95">
      <c r="A20" s="7">
        <v>3018</v>
      </c>
      <c r="B20" s="8" t="inlineStr">
        <is>
          <t>Kritika Katwal</t>
        </is>
      </c>
      <c r="C20" s="9">
        <v>26</v>
      </c>
      <c r="D20" s="9">
        <v>35</v>
      </c>
      <c r="E20" s="9">
        <v>29</v>
      </c>
      <c r="F20" s="9">
        <v>19</v>
      </c>
      <c r="G20" s="2">
        <v>23</v>
      </c>
      <c r="H20" s="9">
        <v>28</v>
      </c>
      <c r="I20" s="2"/>
      <c r="J20" s="9">
        <f>SUM(C20:I20)</f>
        <v>160</v>
      </c>
      <c r="K20" s="9">
        <f>J20/300*100</f>
        <v>53.333333333333336</v>
      </c>
      <c r="L20" s="4" t="s">
        <f>IF(AND(MIN(C20:G20)&gt;17,OR(H20&gt;17,I20&gt;17)),"Pass","Fail")</f>
        <v>7</v>
      </c>
    </row>
    <row r="21" spans="1:12" customHeight="1" ht="21.95">
      <c r="A21" s="7">
        <v>3019</v>
      </c>
      <c r="B21" s="8" t="inlineStr">
        <is>
          <t>Kritika Khadka</t>
        </is>
      </c>
      <c r="C21" s="9">
        <v>26</v>
      </c>
      <c r="D21" s="9">
        <v>35</v>
      </c>
      <c r="E21" s="9">
        <v>28</v>
      </c>
      <c r="F21" s="9">
        <v>19</v>
      </c>
      <c r="G21" s="2">
        <v>26</v>
      </c>
      <c r="H21" s="2"/>
      <c r="I21" s="9">
        <v>20</v>
      </c>
      <c r="J21" s="9">
        <f>SUM(C21:I21)</f>
        <v>154</v>
      </c>
      <c r="K21" s="9">
        <f>J21/300*100</f>
        <v>51.333333333333329</v>
      </c>
      <c r="L21" s="4" t="s">
        <f>IF(AND(MIN(C21:G21)&gt;17,OR(H21&gt;17,I21&gt;17)),"Pass","Fail")</f>
        <v>7</v>
      </c>
    </row>
    <row r="22" spans="1:12" customHeight="1" ht="21.95">
      <c r="A22" s="7">
        <v>3020</v>
      </c>
      <c r="B22" s="8" t="inlineStr">
        <is>
          <t>Manika Shrestha</t>
        </is>
      </c>
      <c r="C22" s="9">
        <v>30</v>
      </c>
      <c r="D22" s="9">
        <v>39</v>
      </c>
      <c r="E22" s="9">
        <v>42</v>
      </c>
      <c r="F22" s="9">
        <v>30</v>
      </c>
      <c r="G22" s="2">
        <v>24</v>
      </c>
      <c r="H22" s="2"/>
      <c r="I22" s="9">
        <v>34</v>
      </c>
      <c r="J22" s="9">
        <f>SUM(C22:I22)</f>
        <v>199</v>
      </c>
      <c r="K22" s="9">
        <f>J22/300*100</f>
        <v>66.333333333333329</v>
      </c>
      <c r="L22" s="4" t="s">
        <f>IF(AND(MIN(C22:G22)&gt;17,OR(H22&gt;17,I22&gt;17)),"Pass","Fail")</f>
        <v>7</v>
      </c>
    </row>
    <row r="23" spans="1:12" customHeight="1" ht="21.95">
      <c r="A23" s="7">
        <v>3021</v>
      </c>
      <c r="B23" s="8" t="inlineStr">
        <is>
          <t>Nabrishna pradhan</t>
        </is>
      </c>
      <c r="C23" s="9">
        <v>24</v>
      </c>
      <c r="D23" s="9">
        <v>36</v>
      </c>
      <c r="E23" s="9">
        <v>32</v>
      </c>
      <c r="F23" s="9">
        <v>21</v>
      </c>
      <c r="G23" s="2">
        <v>22</v>
      </c>
      <c r="H23" s="2"/>
      <c r="I23" s="9">
        <v>32</v>
      </c>
      <c r="J23" s="9">
        <f>SUM(C23:I23)</f>
        <v>167</v>
      </c>
      <c r="K23" s="9">
        <f>J23/300*100</f>
        <v>55.666666666666664</v>
      </c>
      <c r="L23" s="4" t="s">
        <f>IF(AND(MIN(C23:G23)&gt;17,OR(H23&gt;17,I23&gt;17)),"Pass","Fail")</f>
        <v>7</v>
      </c>
    </row>
    <row r="24" spans="1:12" customHeight="1" ht="21.95">
      <c r="A24" s="7">
        <v>3022</v>
      </c>
      <c r="B24" s="8" t="inlineStr">
        <is>
          <t>Nishma Thapa</t>
        </is>
      </c>
      <c r="C24" s="9">
        <v>26</v>
      </c>
      <c r="D24" s="9">
        <v>36</v>
      </c>
      <c r="E24" s="9">
        <v>35</v>
      </c>
      <c r="F24" s="9">
        <v>25</v>
      </c>
      <c r="G24" s="2">
        <v>26</v>
      </c>
      <c r="H24" s="2"/>
      <c r="I24" s="9">
        <v>20</v>
      </c>
      <c r="J24" s="9">
        <f>SUM(C24:I24)</f>
        <v>168</v>
      </c>
      <c r="K24" s="9">
        <f>J24/300*100</f>
        <v>56.000000000000007</v>
      </c>
      <c r="L24" s="4" t="s">
        <f>IF(AND(MIN(C24:G24)&gt;17,OR(H24&gt;17,I24&gt;17)),"Pass","Fail")</f>
        <v>7</v>
      </c>
    </row>
    <row r="25" spans="1:12" customHeight="1" ht="21.95">
      <c r="A25" s="7">
        <v>3023</v>
      </c>
      <c r="B25" s="8" t="inlineStr">
        <is>
          <t>Nitika Subedi</t>
        </is>
      </c>
      <c r="C25" s="9">
        <v>18</v>
      </c>
      <c r="D25" s="9">
        <v>27</v>
      </c>
      <c r="E25" s="9">
        <v>18</v>
      </c>
      <c r="F25" s="9">
        <v>20</v>
      </c>
      <c r="G25" s="2">
        <v>23</v>
      </c>
      <c r="H25" s="2"/>
      <c r="I25" s="9">
        <v>24</v>
      </c>
      <c r="J25" s="9">
        <f>SUM(C25:I25)</f>
        <v>130</v>
      </c>
      <c r="K25" s="9">
        <f>J25/300*100</f>
        <v>43.333333333333336</v>
      </c>
      <c r="L25" s="4" t="s">
        <f>IF(AND(MIN(C25:G25)&gt;17,OR(H25&gt;17,I25&gt;17)),"Pass","Fail")</f>
        <v>7</v>
      </c>
    </row>
    <row r="26" spans="1:12" customHeight="1" ht="21.95">
      <c r="A26" s="7">
        <v>3024</v>
      </c>
      <c r="B26" s="8" t="inlineStr">
        <is>
          <t>Nitisha Adhikari</t>
        </is>
      </c>
      <c r="C26" s="9">
        <v>27</v>
      </c>
      <c r="D26" s="9">
        <v>39</v>
      </c>
      <c r="E26" s="9">
        <v>33</v>
      </c>
      <c r="F26" s="9">
        <v>29</v>
      </c>
      <c r="G26" s="2">
        <v>27</v>
      </c>
      <c r="H26" s="2"/>
      <c r="I26" s="9">
        <v>32</v>
      </c>
      <c r="J26" s="9">
        <f>SUM(C26:I26)</f>
        <v>187</v>
      </c>
      <c r="K26" s="9">
        <f>J26/300*100</f>
        <v>62.333333333333329</v>
      </c>
      <c r="L26" s="4" t="s">
        <f>IF(AND(MIN(C26:G26)&gt;17,OR(H26&gt;17,I26&gt;17)),"Pass","Fail")</f>
        <v>7</v>
      </c>
    </row>
    <row r="27" spans="1:12" customHeight="1" ht="21.95">
      <c r="A27" s="7">
        <v>3025</v>
      </c>
      <c r="B27" s="8" t="inlineStr">
        <is>
          <t>Pooja Dahal</t>
        </is>
      </c>
      <c r="C27" s="9">
        <v>31</v>
      </c>
      <c r="D27" s="9">
        <v>40</v>
      </c>
      <c r="E27" s="9">
        <v>40</v>
      </c>
      <c r="F27" s="9">
        <v>35</v>
      </c>
      <c r="G27" s="2">
        <v>33</v>
      </c>
      <c r="H27" s="2"/>
      <c r="I27" s="9">
        <v>46</v>
      </c>
      <c r="J27" s="9">
        <f>SUM(C27:I27)</f>
        <v>225</v>
      </c>
      <c r="K27" s="9">
        <f>J27/300*100</f>
        <v>75</v>
      </c>
      <c r="L27" s="4" t="s">
        <f>IF(AND(MIN(C27:G27)&gt;17,OR(H27&gt;17,I27&gt;17)),"Pass","Fail")</f>
        <v>7</v>
      </c>
    </row>
    <row r="28" spans="1:12" customHeight="1" ht="21.95">
      <c r="A28" s="7">
        <v>3026</v>
      </c>
      <c r="B28" s="8" t="inlineStr">
        <is>
          <t>Pratistha Basnet</t>
        </is>
      </c>
      <c r="C28" s="9">
        <v>40</v>
      </c>
      <c r="D28" s="9">
        <v>39</v>
      </c>
      <c r="E28" s="9">
        <v>43</v>
      </c>
      <c r="F28" s="9">
        <v>27</v>
      </c>
      <c r="G28" s="2">
        <v>38</v>
      </c>
      <c r="H28" s="2"/>
      <c r="I28" s="9">
        <v>45</v>
      </c>
      <c r="J28" s="9">
        <f>SUM(C28:I28)</f>
        <v>232</v>
      </c>
      <c r="K28" s="9">
        <f>J28/300*100</f>
        <v>77.333333333333329</v>
      </c>
      <c r="L28" s="4" t="s">
        <f>IF(AND(MIN(C28:G28)&gt;17,OR(H28&gt;17,I28&gt;17)),"Pass","Fail")</f>
        <v>7</v>
      </c>
    </row>
    <row r="29" spans="1:12" customHeight="1" ht="21.95">
      <c r="A29" s="7">
        <v>3027</v>
      </c>
      <c r="B29" s="8" t="inlineStr">
        <is>
          <t>Prem Tamang</t>
        </is>
      </c>
      <c r="C29" s="9">
        <v>34</v>
      </c>
      <c r="D29" s="9">
        <v>38</v>
      </c>
      <c r="E29" s="9">
        <v>33</v>
      </c>
      <c r="F29" s="9">
        <v>34</v>
      </c>
      <c r="G29" s="2">
        <v>39</v>
      </c>
      <c r="H29" s="9">
        <v>31</v>
      </c>
      <c r="I29" s="2"/>
      <c r="J29" s="9">
        <f>SUM(C29:I29)</f>
        <v>209</v>
      </c>
      <c r="K29" s="9">
        <f>J29/300*100</f>
        <v>69.666666666666671</v>
      </c>
      <c r="L29" s="4" t="s">
        <f>IF(AND(MIN(C29:G29)&gt;17,OR(H29&gt;17,I29&gt;17)),"Pass","Fail")</f>
        <v>7</v>
      </c>
    </row>
    <row r="30" spans="1:12" customHeight="1" ht="21.95">
      <c r="A30" s="7">
        <v>3028</v>
      </c>
      <c r="B30" s="8" t="inlineStr">
        <is>
          <t>Priya Chaudhary</t>
        </is>
      </c>
      <c r="C30" s="9">
        <v>31</v>
      </c>
      <c r="D30" s="9">
        <v>37</v>
      </c>
      <c r="E30" s="9">
        <v>40</v>
      </c>
      <c r="F30" s="9">
        <v>28</v>
      </c>
      <c r="G30" s="2">
        <v>21</v>
      </c>
      <c r="H30" s="9">
        <v>39</v>
      </c>
      <c r="I30" s="2"/>
      <c r="J30" s="9">
        <f>SUM(C30:I30)</f>
        <v>196</v>
      </c>
      <c r="K30" s="9">
        <f>J30/300*100</f>
        <v>65.333333333333329</v>
      </c>
      <c r="L30" s="4" t="s">
        <f>IF(AND(MIN(C30:G30)&gt;17,OR(H30&gt;17,I30&gt;17)),"Pass","Fail")</f>
        <v>7</v>
      </c>
    </row>
    <row r="31" spans="1:12" customHeight="1" ht="21.95">
      <c r="A31" s="7">
        <v>3029</v>
      </c>
      <c r="B31" s="8" t="inlineStr">
        <is>
          <t>Pukar BK</t>
        </is>
      </c>
      <c r="C31" s="9">
        <v>19</v>
      </c>
      <c r="D31" s="9">
        <v>28</v>
      </c>
      <c r="E31" s="9">
        <v>33</v>
      </c>
      <c r="F31" s="9">
        <v>19</v>
      </c>
      <c r="G31" s="2">
        <v>26</v>
      </c>
      <c r="H31" s="9">
        <v>29</v>
      </c>
      <c r="I31" s="2"/>
      <c r="J31" s="9">
        <f>SUM(C31:I31)</f>
        <v>154</v>
      </c>
      <c r="K31" s="9">
        <f>J31/300*100</f>
        <v>51.333333333333329</v>
      </c>
      <c r="L31" s="4" t="s">
        <f>IF(AND(MIN(C31:G31)&gt;17,OR(H31&gt;17,I31&gt;17)),"Pass","Fail")</f>
        <v>7</v>
      </c>
    </row>
    <row r="32" spans="1:12" customHeight="1" ht="21.95">
      <c r="A32" s="7">
        <v>3030</v>
      </c>
      <c r="B32" s="8" t="inlineStr">
        <is>
          <t>Rajeena Kattel</t>
        </is>
      </c>
      <c r="C32" s="9">
        <v>37</v>
      </c>
      <c r="D32" s="9">
        <v>40</v>
      </c>
      <c r="E32" s="9">
        <v>43</v>
      </c>
      <c r="F32" s="9">
        <v>47</v>
      </c>
      <c r="G32" s="2">
        <v>41</v>
      </c>
      <c r="H32" s="2"/>
      <c r="I32" s="9">
        <v>47</v>
      </c>
      <c r="J32" s="9">
        <f>SUM(C32:I32)</f>
        <v>255</v>
      </c>
      <c r="K32" s="9">
        <f>J32/300*100</f>
        <v>85</v>
      </c>
      <c r="L32" s="4" t="s">
        <f>IF(AND(MIN(C32:G32)&gt;17,OR(H32&gt;17,I32&gt;17)),"Pass","Fail")</f>
        <v>7</v>
      </c>
    </row>
    <row r="33" spans="1:12" customHeight="1" ht="21.95">
      <c r="A33" s="7">
        <v>3031</v>
      </c>
      <c r="B33" s="8" t="inlineStr">
        <is>
          <t>Rishma Ghimire</t>
        </is>
      </c>
      <c r="C33" s="9">
        <v>18</v>
      </c>
      <c r="D33" s="9">
        <v>35</v>
      </c>
      <c r="E33" s="9">
        <v>30</v>
      </c>
      <c r="F33" s="9">
        <v>19</v>
      </c>
      <c r="G33" s="2">
        <v>26</v>
      </c>
      <c r="H33" s="9">
        <v>23</v>
      </c>
      <c r="I33" s="2"/>
      <c r="J33" s="9">
        <f>SUM(C33:I33)</f>
        <v>151</v>
      </c>
      <c r="K33" s="9">
        <f>J33/300*100</f>
        <v>50.333333333333329</v>
      </c>
      <c r="L33" s="4" t="s">
        <f>IF(AND(MIN(C33:G33)&gt;17,OR(H33&gt;17,I33&gt;17)),"Pass","Fail")</f>
        <v>7</v>
      </c>
    </row>
    <row r="34" spans="1:12" customHeight="1" ht="21.95">
      <c r="A34" s="7">
        <v>3032</v>
      </c>
      <c r="B34" s="8" t="inlineStr">
        <is>
          <t>Rojbin Shrestha</t>
        </is>
      </c>
      <c r="C34" s="9">
        <v>31</v>
      </c>
      <c r="D34" s="9">
        <v>37</v>
      </c>
      <c r="E34" s="2"/>
      <c r="F34" s="9">
        <v>23</v>
      </c>
      <c r="G34" s="2">
        <v>27</v>
      </c>
      <c r="H34" s="2"/>
      <c r="I34" s="9">
        <v>37</v>
      </c>
      <c r="J34" s="9">
        <f>SUM(C34:I34)</f>
        <v>155</v>
      </c>
      <c r="K34" s="9">
        <f>J34/300*100</f>
        <v>51.666666666666671</v>
      </c>
      <c r="L34" s="4" t="s">
        <f>IF(AND(MIN(C34:G34)&gt;17,OR(H34&gt;17,I34&gt;17)),"Pass","Fail")</f>
        <v>7</v>
      </c>
    </row>
    <row r="35" spans="1:12" customHeight="1" ht="21.95">
      <c r="A35" s="7">
        <v>3033</v>
      </c>
      <c r="B35" s="8" t="inlineStr">
        <is>
          <t>Rojina Nepal</t>
        </is>
      </c>
      <c r="C35" s="9">
        <v>13</v>
      </c>
      <c r="D35" s="9">
        <v>32</v>
      </c>
      <c r="E35" s="9">
        <v>28</v>
      </c>
      <c r="F35" s="9">
        <v>21</v>
      </c>
      <c r="G35" s="2">
        <v>26</v>
      </c>
      <c r="H35" s="9">
        <v>19</v>
      </c>
      <c r="I35" s="2"/>
      <c r="J35" s="9">
        <f>SUM(C35:I35)</f>
        <v>139</v>
      </c>
      <c r="K35" s="9">
        <f>J35/300*100</f>
        <v>46.333333333333329</v>
      </c>
      <c r="L35" s="4" t="s">
        <f>IF(AND(MIN(C35:G35)&gt;17,OR(H35&gt;17,I35&gt;17)),"Pass","Fail")</f>
        <v>8</v>
      </c>
    </row>
    <row r="36" spans="1:12" customHeight="1" ht="21.95">
      <c r="A36" s="7">
        <v>3034</v>
      </c>
      <c r="B36" s="8" t="inlineStr">
        <is>
          <t>Rubin Rai</t>
        </is>
      </c>
      <c r="C36" s="9">
        <v>28</v>
      </c>
      <c r="D36" s="9">
        <v>34</v>
      </c>
      <c r="E36" s="9">
        <v>31</v>
      </c>
      <c r="F36" s="9">
        <v>38</v>
      </c>
      <c r="G36" s="2">
        <v>36</v>
      </c>
      <c r="H36" s="2"/>
      <c r="I36" s="9">
        <v>39</v>
      </c>
      <c r="J36" s="9">
        <f>SUM(C36:I36)</f>
        <v>206</v>
      </c>
      <c r="K36" s="9">
        <f>J36/300*100</f>
        <v>68.666666666666671</v>
      </c>
      <c r="L36" s="4" t="s">
        <f>IF(AND(MIN(C36:G36)&gt;17,OR(H36&gt;17,I36&gt;17)),"Pass","Fail")</f>
        <v>7</v>
      </c>
    </row>
    <row r="37" spans="1:12" customHeight="1" ht="21.95">
      <c r="A37" s="7">
        <v>3035</v>
      </c>
      <c r="B37" s="8" t="inlineStr">
        <is>
          <t>Rubina Chaudhary</t>
        </is>
      </c>
      <c r="C37" s="9">
        <v>30</v>
      </c>
      <c r="D37" s="9">
        <v>36</v>
      </c>
      <c r="E37" s="9">
        <v>31</v>
      </c>
      <c r="F37" s="9">
        <v>28</v>
      </c>
      <c r="G37" s="2">
        <v>38</v>
      </c>
      <c r="H37" s="2"/>
      <c r="I37" s="9">
        <v>32</v>
      </c>
      <c r="J37" s="9">
        <f>SUM(C37:I37)</f>
        <v>195</v>
      </c>
      <c r="K37" s="9">
        <f>J37/300*100</f>
        <v>65</v>
      </c>
      <c r="L37" s="4" t="s">
        <f>IF(AND(MIN(C37:G37)&gt;17,OR(H37&gt;17,I37&gt;17)),"Pass","Fail")</f>
        <v>7</v>
      </c>
    </row>
    <row r="38" spans="1:12" customHeight="1" ht="21.95">
      <c r="A38" s="7">
        <v>3036</v>
      </c>
      <c r="B38" s="8" t="inlineStr">
        <is>
          <t>Sadish Bimali</t>
        </is>
      </c>
      <c r="C38" s="9">
        <v>20</v>
      </c>
      <c r="D38" s="9">
        <v>35</v>
      </c>
      <c r="E38" s="9">
        <v>22</v>
      </c>
      <c r="F38" s="9">
        <v>19</v>
      </c>
      <c r="G38" s="2">
        <v>18</v>
      </c>
      <c r="H38" s="9">
        <v>18</v>
      </c>
      <c r="I38" s="2"/>
      <c r="J38" s="9">
        <f>SUM(C38:I38)</f>
        <v>132</v>
      </c>
      <c r="K38" s="9">
        <f>J38/300*100</f>
        <v>44</v>
      </c>
      <c r="L38" s="4" t="s">
        <f>IF(AND(MIN(C38:G38)&gt;17,OR(H38&gt;17,I38&gt;17)),"Pass","Fail")</f>
        <v>7</v>
      </c>
    </row>
    <row r="39" spans="1:12" customHeight="1" ht="21.95">
      <c r="A39" s="7">
        <v>3037</v>
      </c>
      <c r="B39" s="8" t="inlineStr">
        <is>
          <t>Sandhya Rauniyar</t>
        </is>
      </c>
      <c r="C39" s="9">
        <v>34</v>
      </c>
      <c r="D39" s="9">
        <v>43</v>
      </c>
      <c r="E39" s="9">
        <v>45</v>
      </c>
      <c r="F39" s="9">
        <v>39</v>
      </c>
      <c r="G39" s="2">
        <v>40</v>
      </c>
      <c r="H39" s="2"/>
      <c r="I39" s="9">
        <v>47</v>
      </c>
      <c r="J39" s="9">
        <f>SUM(C39:I39)</f>
        <v>248</v>
      </c>
      <c r="K39" s="9">
        <f>J39/300*100</f>
        <v>82.666666666666671</v>
      </c>
      <c r="L39" s="4" t="s">
        <f>IF(AND(MIN(C39:G39)&gt;17,OR(H39&gt;17,I39&gt;17)),"Pass","Fail")</f>
        <v>7</v>
      </c>
    </row>
    <row r="40" spans="1:12" customHeight="1" ht="21.95">
      <c r="A40" s="7">
        <v>3038</v>
      </c>
      <c r="B40" s="8" t="inlineStr">
        <is>
          <t>Sanskriti Dahal</t>
        </is>
      </c>
      <c r="C40" s="9">
        <v>34</v>
      </c>
      <c r="D40" s="9">
        <v>41</v>
      </c>
      <c r="E40" s="9">
        <v>40</v>
      </c>
      <c r="F40" s="9">
        <v>23</v>
      </c>
      <c r="G40" s="2">
        <v>30</v>
      </c>
      <c r="H40" s="2"/>
      <c r="I40" s="9">
        <v>40</v>
      </c>
      <c r="J40" s="9">
        <f>SUM(C40:I40)</f>
        <v>208</v>
      </c>
      <c r="K40" s="9">
        <f>J40/300*100</f>
        <v>69.333333333333343</v>
      </c>
      <c r="L40" s="4" t="s">
        <f>IF(AND(MIN(C40:G40)&gt;17,OR(H40&gt;17,I40&gt;17)),"Pass","Fail")</f>
        <v>7</v>
      </c>
    </row>
    <row r="41" spans="1:12" customHeight="1" ht="21.95">
      <c r="A41" s="7">
        <v>3039</v>
      </c>
      <c r="B41" s="8" t="inlineStr">
        <is>
          <t>Sanu Shrestha</t>
        </is>
      </c>
      <c r="C41" s="9">
        <v>27</v>
      </c>
      <c r="D41" s="9">
        <v>35</v>
      </c>
      <c r="E41" s="9">
        <v>20</v>
      </c>
      <c r="F41" s="9">
        <v>11</v>
      </c>
      <c r="G41" s="2">
        <v>25</v>
      </c>
      <c r="H41" s="2" t="s">
        <v>9</v>
      </c>
      <c r="I41" s="2"/>
      <c r="J41" s="9">
        <f>SUM(C41:I41)</f>
        <v>118</v>
      </c>
      <c r="K41" s="9">
        <f>J41/300*100</f>
        <v>39.333333333333329</v>
      </c>
      <c r="L41" s="4" t="s">
        <f>IF(AND(MIN(C41:G41)&gt;17,OR(H41&gt;17,I41&gt;17)),"Pass","Fail")</f>
        <v>8</v>
      </c>
    </row>
    <row r="42" spans="1:12" customHeight="1" ht="21.95">
      <c r="A42" s="7">
        <v>3040</v>
      </c>
      <c r="B42" s="8" t="inlineStr">
        <is>
          <t>Shreya Shrestha</t>
        </is>
      </c>
      <c r="C42" s="9">
        <v>38</v>
      </c>
      <c r="D42" s="9">
        <v>41</v>
      </c>
      <c r="E42" s="9">
        <v>37</v>
      </c>
      <c r="F42" s="9">
        <v>28</v>
      </c>
      <c r="G42" s="2">
        <v>39</v>
      </c>
      <c r="H42" s="2"/>
      <c r="I42" s="9">
        <v>47</v>
      </c>
      <c r="J42" s="9">
        <f>SUM(C42:I42)</f>
        <v>230</v>
      </c>
      <c r="K42" s="9">
        <f>J42/300*100</f>
        <v>76.666666666666671</v>
      </c>
      <c r="L42" s="4" t="s">
        <f>IF(AND(MIN(C42:G42)&gt;17,OR(H42&gt;17,I42&gt;17)),"Pass","Fail")</f>
        <v>7</v>
      </c>
    </row>
    <row r="43" spans="1:12" customHeight="1" ht="21.95">
      <c r="A43" s="7">
        <v>3041</v>
      </c>
      <c r="B43" s="8" t="inlineStr">
        <is>
          <t>Shreyashi Bhattarai</t>
        </is>
      </c>
      <c r="C43" s="9">
        <v>42</v>
      </c>
      <c r="D43" s="9">
        <v>43</v>
      </c>
      <c r="E43" s="9">
        <v>45</v>
      </c>
      <c r="F43" s="9">
        <v>46</v>
      </c>
      <c r="G43" s="2">
        <v>47</v>
      </c>
      <c r="H43" s="2"/>
      <c r="I43" s="9">
        <v>48</v>
      </c>
      <c r="J43" s="9">
        <f>SUM(C43:I43)</f>
        <v>271</v>
      </c>
      <c r="K43" s="9">
        <f>J43/300*100</f>
        <v>90.333333333333329</v>
      </c>
      <c r="L43" s="4" t="s">
        <f>IF(AND(MIN(C43:G43)&gt;17,OR(H43&gt;17,I43&gt;17)),"Pass","Fail")</f>
        <v>7</v>
      </c>
    </row>
    <row r="44" spans="1:12" customHeight="1" ht="21.95">
      <c r="A44" s="7">
        <v>3042</v>
      </c>
      <c r="B44" s="8" t="inlineStr">
        <is>
          <t>Shrijan Chaudhary</t>
        </is>
      </c>
      <c r="C44" s="9">
        <v>4</v>
      </c>
      <c r="D44" s="9">
        <v>14</v>
      </c>
      <c r="E44" s="9">
        <v>11</v>
      </c>
      <c r="F44" s="9">
        <v>18</v>
      </c>
      <c r="G44" s="2">
        <v>18</v>
      </c>
      <c r="H44" s="2"/>
      <c r="I44" s="9">
        <v>20</v>
      </c>
      <c r="J44" s="9">
        <f>SUM(C44:I44)</f>
        <v>85</v>
      </c>
      <c r="K44" s="9">
        <f>J44/300*100</f>
        <v>28.333333333333332</v>
      </c>
      <c r="L44" s="4" t="s">
        <f>IF(AND(MIN(C44:G44)&gt;17,OR(H44&gt;17,I44&gt;17)),"Pass","Fail")</f>
        <v>8</v>
      </c>
    </row>
    <row r="45" spans="1:12" customHeight="1" ht="21.95">
      <c r="A45" s="7">
        <v>3043</v>
      </c>
      <c r="B45" s="8" t="inlineStr">
        <is>
          <t>Sohani Chaudhary</t>
        </is>
      </c>
      <c r="C45" s="9">
        <v>25</v>
      </c>
      <c r="D45" s="9">
        <v>27</v>
      </c>
      <c r="E45" s="9">
        <v>10</v>
      </c>
      <c r="F45" s="9">
        <v>22</v>
      </c>
      <c r="G45" s="2">
        <v>18</v>
      </c>
      <c r="H45" s="9">
        <v>13</v>
      </c>
      <c r="I45" s="2"/>
      <c r="J45" s="9">
        <f>SUM(C45:I45)</f>
        <v>115</v>
      </c>
      <c r="K45" s="9">
        <f>J45/300*100</f>
        <v>38.333333333333336</v>
      </c>
      <c r="L45" s="4" t="s">
        <f>IF(AND(MIN(C45:G45)&gt;17,OR(H45&gt;17,I45&gt;17)),"Pass","Fail")</f>
        <v>8</v>
      </c>
    </row>
    <row r="46" spans="1:12" customHeight="1" ht="21.95">
      <c r="A46" s="7">
        <v>3044</v>
      </c>
      <c r="B46" s="8" t="inlineStr">
        <is>
          <t>Swaiksha Chaudhary</t>
        </is>
      </c>
      <c r="C46" s="9">
        <v>29</v>
      </c>
      <c r="D46" s="9">
        <v>35</v>
      </c>
      <c r="E46" s="9">
        <v>32</v>
      </c>
      <c r="F46" s="9">
        <v>25</v>
      </c>
      <c r="G46" s="2">
        <v>29</v>
      </c>
      <c r="H46" s="2"/>
      <c r="I46" s="9">
        <v>29</v>
      </c>
      <c r="J46" s="9">
        <f>SUM(C46:I46)</f>
        <v>179</v>
      </c>
      <c r="K46" s="9">
        <f>J46/300*100</f>
        <v>59.666666666666671</v>
      </c>
      <c r="L46" s="4" t="s">
        <f>IF(AND(MIN(C46:G46)&gt;17,OR(H46&gt;17,I46&gt;17)),"Pass","Fail")</f>
        <v>7</v>
      </c>
    </row>
    <row r="47" spans="1:12" customHeight="1" ht="21.95">
      <c r="A47" s="10">
        <v>3045</v>
      </c>
      <c r="B47" s="8" t="inlineStr">
        <is>
          <t>Nibesh Dhamala</t>
        </is>
      </c>
      <c r="C47" s="9">
        <v>23</v>
      </c>
      <c r="D47" s="9">
        <v>34</v>
      </c>
      <c r="E47" s="9">
        <v>25</v>
      </c>
      <c r="F47" s="9">
        <v>6</v>
      </c>
      <c r="G47" s="2">
        <v>13</v>
      </c>
      <c r="H47" s="9">
        <v>20</v>
      </c>
      <c r="I47" s="2"/>
      <c r="J47" s="9">
        <f>SUM(C47:I47)</f>
        <v>121</v>
      </c>
      <c r="K47" s="9">
        <f>J47/300*100</f>
        <v>40.333333333333329</v>
      </c>
      <c r="L47" s="4" t="s">
        <f>IF(AND(MIN(C47:G47)&gt;17,OR(H47&gt;17,I47&gt;17)),"Pass","Fail")</f>
        <v>8</v>
      </c>
    </row>
    <row r="48" spans="1:12" customHeight="1" ht="21.95">
      <c r="A48" s="10">
        <v>3046</v>
      </c>
      <c r="B48" s="8" t="inlineStr">
        <is>
          <t>Nischal Kafle</t>
        </is>
      </c>
      <c r="C48" s="9">
        <v>20</v>
      </c>
      <c r="D48" s="9">
        <v>8</v>
      </c>
      <c r="E48" s="9">
        <v>10</v>
      </c>
      <c r="F48" s="9">
        <v>2</v>
      </c>
      <c r="G48" s="2">
        <v>6</v>
      </c>
      <c r="H48" s="9">
        <v>5</v>
      </c>
      <c r="I48" s="2"/>
      <c r="J48" s="9">
        <f>SUM(C48:I48)</f>
        <v>51</v>
      </c>
      <c r="K48" s="9">
        <f>J48/300*100</f>
        <v>17</v>
      </c>
      <c r="L48" s="4" t="s">
        <f>IF(AND(MIN(C48:G48)&gt;17,OR(H48&gt;17,I48&gt;17)),"Pass","Fail")</f>
        <v>8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orientation="portrait" pageOrder="downThenOver" paperSize="9" scale="100" useFirstPageNumber="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K48"/>
  <sheetViews>
    <sheetView workbookViewId="0">
      <selection activeCell="F6" sqref="F6"/>
    </sheetView>
  </sheetViews>
  <sheetFormatPr defaultColWidth="67.5" defaultRowHeight="15"/>
  <cols>
    <col min="1" max="1" style="1" width="5" bestFit="1" customWidth="1"/>
    <col min="2" max="2" style="1" width="22.28515625" bestFit="1" customWidth="1"/>
    <col min="3" max="3" style="1" width="7.140625" bestFit="1" customWidth="1"/>
    <col min="4" max="5" style="1" width="6.140625" bestFit="1" customWidth="1"/>
    <col min="6" max="7" style="1" width="4.28515625" bestFit="1" customWidth="1"/>
    <col min="8" max="8" style="1" width="4.7109375" bestFit="1" customWidth="1"/>
    <col min="9" max="9" style="1" width="5" bestFit="1" customWidth="1"/>
    <col min="10" max="10" style="1" width="6" customWidth="1"/>
    <col min="11" max="16384" style="1" width="12.856370192307693"/>
  </cols>
  <sheetData>
    <row r="1" spans="1:11" customHeight="1" ht="21.95">
      <c r="A1" s="2"/>
      <c r="B1" s="3" t="inlineStr">
        <is>
          <t>LAXMI-XI</t>
        </is>
      </c>
      <c r="C1" s="2"/>
      <c r="D1" s="2"/>
      <c r="E1" s="2"/>
      <c r="F1" s="2"/>
      <c r="G1" s="2"/>
      <c r="H1" s="2"/>
      <c r="I1" s="2"/>
      <c r="J1" s="2"/>
      <c r="K1" s="4"/>
    </row>
    <row r="2" spans="1:11" customHeight="1" ht="21.95">
      <c r="A2" s="5" t="s">
        <v>0</v>
      </c>
      <c r="B2" s="5" t="s">
        <v>1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inlineStr">
        <is>
          <t>Busi</t>
        </is>
      </c>
      <c r="I2" s="6" t="s">
        <v>3</v>
      </c>
      <c r="J2" s="6" t="s">
        <v>4</v>
      </c>
      <c r="K2" s="4" t="s">
        <v>5</v>
      </c>
    </row>
    <row r="3" spans="1:11" customHeight="1" ht="21.95">
      <c r="A3" s="11">
        <v>3101</v>
      </c>
      <c r="B3" s="12" t="inlineStr">
        <is>
          <t>Aakriti Poddar</t>
        </is>
      </c>
      <c r="C3" s="9">
        <v>24</v>
      </c>
      <c r="D3" s="9">
        <v>32</v>
      </c>
      <c r="E3" s="9">
        <v>28</v>
      </c>
      <c r="F3" s="9">
        <v>22</v>
      </c>
      <c r="G3" s="9">
        <v>22</v>
      </c>
      <c r="H3" s="9">
        <v>25</v>
      </c>
      <c r="I3" s="9">
        <f>SUM(C3:H3)</f>
        <v>153</v>
      </c>
      <c r="J3" s="9">
        <f>I3/300*100</f>
        <v>51</v>
      </c>
      <c r="K3" s="4" t="s">
        <f>IF(MIN(C3:H3)&gt;17,"Pass","Fail")</f>
        <v>7</v>
      </c>
    </row>
    <row r="4" spans="1:11" customHeight="1" ht="21.95">
      <c r="A4" s="11">
        <v>3102</v>
      </c>
      <c r="B4" s="12" t="inlineStr">
        <is>
          <t>Aasha Katwal</t>
        </is>
      </c>
      <c r="C4" s="9">
        <v>18</v>
      </c>
      <c r="D4" s="9">
        <v>34</v>
      </c>
      <c r="E4" s="9">
        <v>24</v>
      </c>
      <c r="F4" s="9">
        <v>18</v>
      </c>
      <c r="G4" s="9">
        <v>21</v>
      </c>
      <c r="H4" s="9">
        <v>18</v>
      </c>
      <c r="I4" s="9">
        <f>SUM(C4:H4)</f>
        <v>133</v>
      </c>
      <c r="J4" s="9">
        <f>I4/300*100</f>
        <v>44.333333333333336</v>
      </c>
      <c r="K4" s="4" t="s">
        <f>IF(MIN(C4:H4)&gt;17,"Pass","Fail")</f>
        <v>7</v>
      </c>
    </row>
    <row r="5" spans="1:11" customHeight="1" ht="21.95">
      <c r="A5" s="11">
        <v>3103</v>
      </c>
      <c r="B5" s="12" t="inlineStr">
        <is>
          <t>Aayush Karki</t>
        </is>
      </c>
      <c r="C5" s="9">
        <v>18</v>
      </c>
      <c r="D5" s="9">
        <v>20</v>
      </c>
      <c r="E5" s="9">
        <v>12</v>
      </c>
      <c r="F5" s="9">
        <v>5</v>
      </c>
      <c r="G5" s="9">
        <v>6</v>
      </c>
      <c r="H5" s="9">
        <v>8</v>
      </c>
      <c r="I5" s="9">
        <f>SUM(C5:H5)</f>
        <v>69</v>
      </c>
      <c r="J5" s="9">
        <f>I5/300*100</f>
        <v>23</v>
      </c>
      <c r="K5" s="4" t="s">
        <f>IF(MIN(C5:H5)&gt;17,"Pass","Fail")</f>
        <v>8</v>
      </c>
    </row>
    <row r="6" spans="1:11" customHeight="1" ht="21.95">
      <c r="A6" s="11">
        <v>3104</v>
      </c>
      <c r="B6" s="12" t="inlineStr">
        <is>
          <t>Aayush Parajuli</t>
        </is>
      </c>
      <c r="C6" s="9">
        <v>26</v>
      </c>
      <c r="D6" s="9">
        <v>36</v>
      </c>
      <c r="E6" s="9">
        <v>26</v>
      </c>
      <c r="F6" s="9">
        <v>26</v>
      </c>
      <c r="G6" s="9">
        <v>25</v>
      </c>
      <c r="H6" s="9">
        <v>33</v>
      </c>
      <c r="I6" s="9">
        <f>SUM(C6:H6)</f>
        <v>172</v>
      </c>
      <c r="J6" s="9">
        <f>I6/300*100</f>
        <v>57.333333333333336</v>
      </c>
      <c r="K6" s="4" t="s">
        <f>IF(MIN(C6:H6)&gt;17,"Pass","Fail")</f>
        <v>7</v>
      </c>
    </row>
    <row r="7" spans="1:11" customHeight="1" ht="21.95">
      <c r="A7" s="11">
        <v>3105</v>
      </c>
      <c r="B7" s="12" t="s">
        <v>16</v>
      </c>
      <c r="C7" s="9">
        <v>23</v>
      </c>
      <c r="D7" s="9">
        <v>35</v>
      </c>
      <c r="E7" s="9">
        <v>32</v>
      </c>
      <c r="F7" s="9">
        <v>22</v>
      </c>
      <c r="G7" s="9">
        <v>22</v>
      </c>
      <c r="H7" s="9">
        <v>13</v>
      </c>
      <c r="I7" s="9">
        <f>SUM(C7:H7)</f>
        <v>147</v>
      </c>
      <c r="J7" s="9">
        <f>I7/300*100</f>
        <v>49</v>
      </c>
      <c r="K7" s="4" t="s">
        <f>IF(MIN(C7:H7)&gt;17,"Pass","Fail")</f>
        <v>8</v>
      </c>
    </row>
    <row r="8" spans="1:11" customHeight="1" ht="21.95">
      <c r="A8" s="11">
        <v>3106</v>
      </c>
      <c r="B8" s="12" t="inlineStr">
        <is>
          <t>Anish Chaudhary</t>
        </is>
      </c>
      <c r="C8" s="9">
        <v>8</v>
      </c>
      <c r="D8" s="9">
        <v>13</v>
      </c>
      <c r="E8" s="9">
        <v>1</v>
      </c>
      <c r="F8" s="9">
        <v>3</v>
      </c>
      <c r="G8" s="9">
        <v>5</v>
      </c>
      <c r="H8" s="9">
        <v>13</v>
      </c>
      <c r="I8" s="9">
        <f>SUM(C8:H8)</f>
        <v>43</v>
      </c>
      <c r="J8" s="9">
        <f>I8/300*100</f>
        <v>14.333333333333334</v>
      </c>
      <c r="K8" s="4" t="s">
        <f>IF(MIN(C8:H8)&gt;17,"Pass","Fail")</f>
        <v>8</v>
      </c>
    </row>
    <row r="9" spans="1:11" customHeight="1" ht="21.95">
      <c r="A9" s="11">
        <v>3107</v>
      </c>
      <c r="B9" s="12" t="inlineStr">
        <is>
          <t>Anisha Gadal</t>
        </is>
      </c>
      <c r="C9" s="9">
        <v>10</v>
      </c>
      <c r="D9" s="9">
        <v>39</v>
      </c>
      <c r="E9" s="9">
        <v>30</v>
      </c>
      <c r="F9" s="9">
        <v>10</v>
      </c>
      <c r="G9" s="9">
        <v>22</v>
      </c>
      <c r="H9" s="9">
        <v>4</v>
      </c>
      <c r="I9" s="9">
        <f>SUM(C9:H9)</f>
        <v>115</v>
      </c>
      <c r="J9" s="9">
        <f>I9/300*100</f>
        <v>38.333333333333336</v>
      </c>
      <c r="K9" s="4" t="s">
        <f>IF(MIN(C9:H9)&gt;17,"Pass","Fail")</f>
        <v>8</v>
      </c>
    </row>
    <row r="10" spans="1:11" customHeight="1" ht="21.95">
      <c r="A10" s="11">
        <v>3108</v>
      </c>
      <c r="B10" s="12" t="inlineStr">
        <is>
          <t>Aryan Chaudhary</t>
        </is>
      </c>
      <c r="C10" s="9">
        <v>18</v>
      </c>
      <c r="D10" s="9">
        <v>21</v>
      </c>
      <c r="E10" s="9">
        <v>3</v>
      </c>
      <c r="F10" s="9">
        <v>18</v>
      </c>
      <c r="G10" s="9">
        <v>21</v>
      </c>
      <c r="H10" s="9">
        <v>11</v>
      </c>
      <c r="I10" s="9">
        <f>SUM(C10:H10)</f>
        <v>92</v>
      </c>
      <c r="J10" s="9">
        <f>I10/300*100</f>
        <v>30.666666666666664</v>
      </c>
      <c r="K10" s="4" t="s">
        <f>IF(MIN(C10:H10)&gt;17,"Pass","Fail")</f>
        <v>8</v>
      </c>
    </row>
    <row r="11" spans="1:11" customHeight="1" ht="21.95">
      <c r="A11" s="11">
        <v>3109</v>
      </c>
      <c r="B11" s="12" t="inlineStr">
        <is>
          <t>Aryan Karki</t>
        </is>
      </c>
      <c r="C11" s="9">
        <v>13</v>
      </c>
      <c r="D11" s="9">
        <v>28</v>
      </c>
      <c r="E11" s="9">
        <v>5</v>
      </c>
      <c r="F11" s="9">
        <v>12</v>
      </c>
      <c r="G11" s="9">
        <v>21</v>
      </c>
      <c r="H11" s="9">
        <v>6</v>
      </c>
      <c r="I11" s="9">
        <f>SUM(C11:H11)</f>
        <v>85</v>
      </c>
      <c r="J11" s="9">
        <f>I11/300*100</f>
        <v>28.333333333333332</v>
      </c>
      <c r="K11" s="4" t="s">
        <f>IF(MIN(C11:H11)&gt;17,"Pass","Fail")</f>
        <v>8</v>
      </c>
    </row>
    <row r="12" spans="1:11" customHeight="1" ht="21.95">
      <c r="A12" s="11">
        <v>3110</v>
      </c>
      <c r="B12" s="12" t="inlineStr">
        <is>
          <t>Dipak Bhattarai</t>
        </is>
      </c>
      <c r="C12" s="9">
        <v>22</v>
      </c>
      <c r="D12" s="9">
        <v>33</v>
      </c>
      <c r="E12" s="9">
        <v>28</v>
      </c>
      <c r="F12" s="9">
        <v>28</v>
      </c>
      <c r="G12" s="9">
        <v>25</v>
      </c>
      <c r="H12" s="9">
        <v>28</v>
      </c>
      <c r="I12" s="9">
        <f>SUM(C12:H12)</f>
        <v>164</v>
      </c>
      <c r="J12" s="9">
        <f>I12/300*100</f>
        <v>54.666666666666664</v>
      </c>
      <c r="K12" s="4" t="s">
        <f>IF(MIN(C12:H12)&gt;17,"Pass","Fail")</f>
        <v>7</v>
      </c>
    </row>
    <row r="13" spans="1:11" customHeight="1" ht="21.95">
      <c r="A13" s="11">
        <v>3111</v>
      </c>
      <c r="B13" s="12" t="inlineStr">
        <is>
          <t>Jina Karki</t>
        </is>
      </c>
      <c r="C13" s="9">
        <v>24</v>
      </c>
      <c r="D13" s="9">
        <v>38</v>
      </c>
      <c r="E13" s="9">
        <v>30</v>
      </c>
      <c r="F13" s="9">
        <v>25</v>
      </c>
      <c r="G13" s="9">
        <v>38</v>
      </c>
      <c r="H13" s="9">
        <v>40</v>
      </c>
      <c r="I13" s="9">
        <f>SUM(C13:H13)</f>
        <v>195</v>
      </c>
      <c r="J13" s="9">
        <f>I13/300*100</f>
        <v>65</v>
      </c>
      <c r="K13" s="4" t="s">
        <f>IF(MIN(C13:H13)&gt;17,"Pass","Fail")</f>
        <v>7</v>
      </c>
    </row>
    <row r="14" spans="1:11" customHeight="1" ht="21.95">
      <c r="A14" s="11">
        <v>3112</v>
      </c>
      <c r="B14" s="12" t="inlineStr">
        <is>
          <t>Karina Limbu</t>
        </is>
      </c>
      <c r="C14" s="9">
        <v>18</v>
      </c>
      <c r="D14" s="9">
        <v>30</v>
      </c>
      <c r="E14" s="9">
        <v>4</v>
      </c>
      <c r="F14" s="9">
        <v>20</v>
      </c>
      <c r="G14" s="9">
        <v>7</v>
      </c>
      <c r="H14" s="9">
        <v>14</v>
      </c>
      <c r="I14" s="9">
        <f>SUM(C14:H14)</f>
        <v>93</v>
      </c>
      <c r="J14" s="9">
        <f>I14/300*100</f>
        <v>31</v>
      </c>
      <c r="K14" s="4" t="s">
        <f>IF(MIN(C14:H14)&gt;17,"Pass","Fail")</f>
        <v>8</v>
      </c>
    </row>
    <row r="15" spans="1:11" customHeight="1" ht="21.95">
      <c r="A15" s="11">
        <v>3113</v>
      </c>
      <c r="B15" s="12" t="inlineStr">
        <is>
          <t>Kiran Bista.</t>
        </is>
      </c>
      <c r="C15" s="9">
        <v>12</v>
      </c>
      <c r="D15" s="9">
        <v>34</v>
      </c>
      <c r="E15" s="9">
        <v>18</v>
      </c>
      <c r="F15" s="9">
        <v>6</v>
      </c>
      <c r="G15" s="9">
        <v>3</v>
      </c>
      <c r="H15" s="9">
        <v>4</v>
      </c>
      <c r="I15" s="9">
        <f>SUM(C15:H15)</f>
        <v>77</v>
      </c>
      <c r="J15" s="9">
        <f>I15/300*100</f>
        <v>25.666666666666664</v>
      </c>
      <c r="K15" s="4" t="s">
        <f>IF(MIN(C15:H15)&gt;17,"Pass","Fail")</f>
        <v>8</v>
      </c>
    </row>
    <row r="16" spans="1:11" customHeight="1" ht="21.95">
      <c r="A16" s="11">
        <v>3114</v>
      </c>
      <c r="B16" s="12" t="inlineStr">
        <is>
          <t>Kritika Koirala</t>
        </is>
      </c>
      <c r="C16" s="9">
        <v>26</v>
      </c>
      <c r="D16" s="9">
        <v>35</v>
      </c>
      <c r="E16" s="9">
        <v>32</v>
      </c>
      <c r="F16" s="9">
        <v>27</v>
      </c>
      <c r="G16" s="9">
        <v>28</v>
      </c>
      <c r="H16" s="9">
        <v>27</v>
      </c>
      <c r="I16" s="9">
        <f>SUM(C16:H16)</f>
        <v>175</v>
      </c>
      <c r="J16" s="9">
        <f>I16/300*100</f>
        <v>58.333333333333336</v>
      </c>
      <c r="K16" s="4" t="s">
        <f>IF(MIN(C16:H16)&gt;17,"Pass","Fail")</f>
        <v>7</v>
      </c>
    </row>
    <row r="17" spans="1:11" customHeight="1" ht="21.95">
      <c r="A17" s="11">
        <v>3115</v>
      </c>
      <c r="B17" s="12" t="inlineStr">
        <is>
          <t>Laxmi Mandal</t>
        </is>
      </c>
      <c r="C17" s="9">
        <v>18</v>
      </c>
      <c r="D17" s="9">
        <v>30</v>
      </c>
      <c r="E17" s="9">
        <v>20</v>
      </c>
      <c r="F17" s="9">
        <v>18</v>
      </c>
      <c r="G17" s="9">
        <v>18</v>
      </c>
      <c r="H17" s="9">
        <v>18</v>
      </c>
      <c r="I17" s="9">
        <f>SUM(C17:H17)</f>
        <v>122</v>
      </c>
      <c r="J17" s="9">
        <f>I17/300*100</f>
        <v>40.666666666666664</v>
      </c>
      <c r="K17" s="4" t="s">
        <f>IF(MIN(C17:H17)&gt;17,"Pass","Fail")</f>
        <v>7</v>
      </c>
    </row>
    <row r="18" spans="1:11" customHeight="1" ht="21.95">
      <c r="A18" s="11">
        <v>3116</v>
      </c>
      <c r="B18" s="12" t="inlineStr">
        <is>
          <t>MD Aslam Khan</t>
        </is>
      </c>
      <c r="C18" s="2"/>
      <c r="D18" s="2" t="s">
        <v>9</v>
      </c>
      <c r="E18" s="2" t="s">
        <v>9</v>
      </c>
      <c r="F18" s="2" t="s">
        <v>17</v>
      </c>
      <c r="G18" s="2" t="s">
        <v>10</v>
      </c>
      <c r="H18" s="2" t="s">
        <v>10</v>
      </c>
      <c r="I18" s="9">
        <f>SUM(C18:H18)</f>
        <v>0</v>
      </c>
      <c r="J18" s="9">
        <f>I18/300*100</f>
        <v>0</v>
      </c>
      <c r="K18" s="4" t="s">
        <f>IF(MIN(C18:H18)&gt;17,"Pass","Fail")</f>
        <v>8</v>
      </c>
    </row>
    <row r="19" spans="1:11" customHeight="1" ht="21.95">
      <c r="A19" s="11">
        <v>3117</v>
      </c>
      <c r="B19" s="12" t="inlineStr">
        <is>
          <t>Mequeen Tumbapo</t>
        </is>
      </c>
      <c r="C19" s="9">
        <v>21</v>
      </c>
      <c r="D19" s="9">
        <v>33</v>
      </c>
      <c r="E19" s="9">
        <v>25</v>
      </c>
      <c r="F19" s="9">
        <v>31</v>
      </c>
      <c r="G19" s="9">
        <v>20</v>
      </c>
      <c r="H19" s="9">
        <v>19</v>
      </c>
      <c r="I19" s="9">
        <f>SUM(C19:H19)</f>
        <v>149</v>
      </c>
      <c r="J19" s="9">
        <f>I19/300*100</f>
        <v>49.666666666666664</v>
      </c>
      <c r="K19" s="4" t="s">
        <f>IF(MIN(C19:H19)&gt;17,"Pass","Fail")</f>
        <v>7</v>
      </c>
    </row>
    <row r="20" spans="1:11" customHeight="1" ht="21.95">
      <c r="A20" s="11">
        <v>3118</v>
      </c>
      <c r="B20" s="12" t="inlineStr">
        <is>
          <t>Nikhita chaudhary</t>
        </is>
      </c>
      <c r="C20" s="9">
        <v>20</v>
      </c>
      <c r="D20" s="9">
        <v>37</v>
      </c>
      <c r="E20" s="9">
        <v>27</v>
      </c>
      <c r="F20" s="9">
        <v>22</v>
      </c>
      <c r="G20" s="9">
        <v>24</v>
      </c>
      <c r="H20" s="9">
        <v>21</v>
      </c>
      <c r="I20" s="9">
        <f>SUM(C20:H20)</f>
        <v>151</v>
      </c>
      <c r="J20" s="9">
        <f>I20/300*100</f>
        <v>50.333333333333329</v>
      </c>
      <c r="K20" s="4" t="s">
        <f>IF(MIN(C20:H20)&gt;17,"Pass","Fail")</f>
        <v>7</v>
      </c>
    </row>
    <row r="21" spans="1:11" customHeight="1" ht="21.95">
      <c r="A21" s="11">
        <v>3119</v>
      </c>
      <c r="B21" s="12" t="inlineStr">
        <is>
          <t>Nirmal Limbu</t>
        </is>
      </c>
      <c r="C21" s="9">
        <v>23</v>
      </c>
      <c r="D21" s="9">
        <v>29</v>
      </c>
      <c r="E21" s="9">
        <v>18</v>
      </c>
      <c r="F21" s="9">
        <v>22</v>
      </c>
      <c r="G21" s="9">
        <v>18</v>
      </c>
      <c r="H21" s="9">
        <v>19</v>
      </c>
      <c r="I21" s="9">
        <f>SUM(C21:H21)</f>
        <v>129</v>
      </c>
      <c r="J21" s="9">
        <f>I21/300*100</f>
        <v>43</v>
      </c>
      <c r="K21" s="4" t="s">
        <f>IF(MIN(C21:H21)&gt;17,"Pass","Fail")</f>
        <v>7</v>
      </c>
    </row>
    <row r="22" spans="1:11" customHeight="1" ht="21.95">
      <c r="A22" s="11">
        <v>3120</v>
      </c>
      <c r="B22" s="12" t="inlineStr">
        <is>
          <t>Nitesh Purbay</t>
        </is>
      </c>
      <c r="C22" s="9">
        <v>18</v>
      </c>
      <c r="D22" s="9">
        <v>34</v>
      </c>
      <c r="E22" s="9">
        <v>3</v>
      </c>
      <c r="F22" s="9">
        <v>20</v>
      </c>
      <c r="G22" s="9">
        <v>19</v>
      </c>
      <c r="H22" s="9">
        <v>26</v>
      </c>
      <c r="I22" s="9">
        <f>SUM(C22:H22)</f>
        <v>120</v>
      </c>
      <c r="J22" s="9">
        <f>I22/300*100</f>
        <v>40</v>
      </c>
      <c r="K22" s="4" t="s">
        <f>IF(MIN(C22:H22)&gt;17,"Pass","Fail")</f>
        <v>8</v>
      </c>
    </row>
    <row r="23" spans="1:11" customHeight="1" ht="21.95">
      <c r="A23" s="11">
        <v>3121</v>
      </c>
      <c r="B23" s="12" t="inlineStr">
        <is>
          <t>Niwa Limbu</t>
        </is>
      </c>
      <c r="C23" s="9">
        <v>22</v>
      </c>
      <c r="D23" s="9">
        <v>40</v>
      </c>
      <c r="E23" s="9">
        <v>32</v>
      </c>
      <c r="F23" s="9">
        <v>27</v>
      </c>
      <c r="G23" s="9">
        <v>19</v>
      </c>
      <c r="H23" s="9">
        <v>38</v>
      </c>
      <c r="I23" s="9">
        <f>SUM(C23:H23)</f>
        <v>178</v>
      </c>
      <c r="J23" s="9">
        <f>I23/300*100</f>
        <v>59.333333333333336</v>
      </c>
      <c r="K23" s="4" t="s">
        <f>IF(MIN(C23:H23)&gt;17,"Pass","Fail")</f>
        <v>7</v>
      </c>
    </row>
    <row r="24" spans="1:11" customHeight="1" ht="21.95">
      <c r="A24" s="11">
        <v>3122</v>
      </c>
      <c r="B24" s="12" t="inlineStr">
        <is>
          <t>Pabitra Kunwar</t>
        </is>
      </c>
      <c r="C24" s="9">
        <v>30</v>
      </c>
      <c r="D24" s="9">
        <v>42</v>
      </c>
      <c r="E24" s="9">
        <v>45</v>
      </c>
      <c r="F24" s="9">
        <v>33</v>
      </c>
      <c r="G24" s="9">
        <v>30</v>
      </c>
      <c r="H24" s="9">
        <v>44</v>
      </c>
      <c r="I24" s="9">
        <f>SUM(C24:H24)</f>
        <v>224</v>
      </c>
      <c r="J24" s="9">
        <f>I24/300*100</f>
        <v>74.666666666666671</v>
      </c>
      <c r="K24" s="4" t="s">
        <f>IF(MIN(C24:H24)&gt;17,"Pass","Fail")</f>
        <v>7</v>
      </c>
    </row>
    <row r="25" spans="1:11" customHeight="1" ht="21.95">
      <c r="A25" s="11">
        <v>3123</v>
      </c>
      <c r="B25" s="12" t="inlineStr">
        <is>
          <t>Pabitra Shah</t>
        </is>
      </c>
      <c r="C25" s="9">
        <v>10</v>
      </c>
      <c r="D25" s="9">
        <v>29</v>
      </c>
      <c r="E25" s="9">
        <v>13</v>
      </c>
      <c r="F25" s="9">
        <v>14</v>
      </c>
      <c r="G25" s="9">
        <v>5</v>
      </c>
      <c r="H25" s="9">
        <v>11</v>
      </c>
      <c r="I25" s="9">
        <f>SUM(C25:H25)</f>
        <v>82</v>
      </c>
      <c r="J25" s="9">
        <f>I25/300*100</f>
        <v>27.333333333333332</v>
      </c>
      <c r="K25" s="4" t="s">
        <f>IF(MIN(C25:H25)&gt;17,"Pass","Fail")</f>
        <v>8</v>
      </c>
    </row>
    <row r="26" spans="1:11" customHeight="1" ht="21.95">
      <c r="A26" s="11">
        <v>3124</v>
      </c>
      <c r="B26" s="12" t="inlineStr">
        <is>
          <t>Patikshya Bhattarai</t>
        </is>
      </c>
      <c r="C26" s="9">
        <v>32</v>
      </c>
      <c r="D26" s="9">
        <v>37</v>
      </c>
      <c r="E26" s="9">
        <v>36</v>
      </c>
      <c r="F26" s="9">
        <v>20</v>
      </c>
      <c r="G26" s="9">
        <v>28</v>
      </c>
      <c r="H26" s="9">
        <v>43</v>
      </c>
      <c r="I26" s="9">
        <f>SUM(C26:H26)</f>
        <v>196</v>
      </c>
      <c r="J26" s="9">
        <f>I26/300*100</f>
        <v>65.333333333333329</v>
      </c>
      <c r="K26" s="4" t="s">
        <f>IF(MIN(C26:H26)&gt;17,"Pass","Fail")</f>
        <v>7</v>
      </c>
    </row>
    <row r="27" spans="1:11" customHeight="1" ht="21.95">
      <c r="A27" s="11">
        <v>3125</v>
      </c>
      <c r="B27" s="12" t="inlineStr">
        <is>
          <t>Pragyan Ghimire</t>
        </is>
      </c>
      <c r="C27" s="9">
        <v>22</v>
      </c>
      <c r="D27" s="9">
        <v>27</v>
      </c>
      <c r="E27" s="9">
        <v>16</v>
      </c>
      <c r="F27" s="9">
        <v>9</v>
      </c>
      <c r="G27" s="9">
        <v>15</v>
      </c>
      <c r="H27" s="9">
        <v>28</v>
      </c>
      <c r="I27" s="9">
        <f>SUM(C27:H27)</f>
        <v>117</v>
      </c>
      <c r="J27" s="9">
        <f>I27/300*100</f>
        <v>39</v>
      </c>
      <c r="K27" s="4" t="s">
        <f>IF(MIN(C27:H27)&gt;17,"Pass","Fail")</f>
        <v>8</v>
      </c>
    </row>
    <row r="28" spans="1:11" customHeight="1" ht="21.95">
      <c r="A28" s="11">
        <v>3126</v>
      </c>
      <c r="B28" s="12" t="inlineStr">
        <is>
          <t>Prajwal Shah</t>
        </is>
      </c>
      <c r="C28" s="9">
        <v>22</v>
      </c>
      <c r="D28" s="9">
        <v>26</v>
      </c>
      <c r="E28" s="9">
        <v>26</v>
      </c>
      <c r="F28" s="9">
        <v>9</v>
      </c>
      <c r="G28" s="9">
        <v>18</v>
      </c>
      <c r="H28" s="9">
        <v>30</v>
      </c>
      <c r="I28" s="9">
        <f>SUM(C28:H28)</f>
        <v>131</v>
      </c>
      <c r="J28" s="9">
        <f>I28/300*100</f>
        <v>43.666666666666664</v>
      </c>
      <c r="K28" s="4" t="s">
        <f>IF(MIN(C28:H28)&gt;17,"Pass","Fail")</f>
        <v>8</v>
      </c>
    </row>
    <row r="29" spans="1:11" customHeight="1" ht="21.95">
      <c r="A29" s="11">
        <v>3127</v>
      </c>
      <c r="B29" s="12" t="inlineStr">
        <is>
          <t>Prapti Chaudhary</t>
        </is>
      </c>
      <c r="C29" s="9">
        <v>18</v>
      </c>
      <c r="D29" s="9">
        <v>26</v>
      </c>
      <c r="E29" s="2" t="s">
        <v>9</v>
      </c>
      <c r="F29" s="9">
        <v>24</v>
      </c>
      <c r="G29" s="9">
        <v>29</v>
      </c>
      <c r="H29" s="9">
        <v>29</v>
      </c>
      <c r="I29" s="9">
        <f>SUM(C29:H29)</f>
        <v>126</v>
      </c>
      <c r="J29" s="9">
        <f>I29/300*100</f>
        <v>42</v>
      </c>
      <c r="K29" s="4" t="s">
        <f>IF(MIN(C29:H29)&gt;17,"Pass","Fail")</f>
        <v>7</v>
      </c>
    </row>
    <row r="30" spans="1:11" customHeight="1" ht="21.95">
      <c r="A30" s="11">
        <v>3128</v>
      </c>
      <c r="B30" s="12" t="inlineStr">
        <is>
          <t>Prashun Rai</t>
        </is>
      </c>
      <c r="C30" s="9">
        <v>28</v>
      </c>
      <c r="D30" s="9">
        <v>27</v>
      </c>
      <c r="E30" s="9">
        <v>25</v>
      </c>
      <c r="F30" s="9">
        <v>43</v>
      </c>
      <c r="G30" s="9">
        <v>40</v>
      </c>
      <c r="H30" s="9">
        <v>45</v>
      </c>
      <c r="I30" s="9">
        <f>SUM(C30:H30)</f>
        <v>208</v>
      </c>
      <c r="J30" s="9">
        <f>I30/300*100</f>
        <v>69.333333333333343</v>
      </c>
      <c r="K30" s="4" t="s">
        <f>IF(MIN(C30:H30)&gt;17,"Pass","Fail")</f>
        <v>7</v>
      </c>
    </row>
    <row r="31" spans="1:11" customHeight="1" ht="21.95">
      <c r="A31" s="11">
        <v>3129</v>
      </c>
      <c r="B31" s="12" t="inlineStr">
        <is>
          <t>Prastab limbu.</t>
        </is>
      </c>
      <c r="C31" s="9">
        <v>18</v>
      </c>
      <c r="D31" s="9">
        <v>26</v>
      </c>
      <c r="E31" s="9">
        <v>14</v>
      </c>
      <c r="F31" s="9">
        <v>8</v>
      </c>
      <c r="G31" s="9">
        <v>4</v>
      </c>
      <c r="H31" s="9">
        <v>19</v>
      </c>
      <c r="I31" s="9">
        <f>SUM(C31:H31)</f>
        <v>89</v>
      </c>
      <c r="J31" s="9">
        <f>I31/300*100</f>
        <v>29.666666666666668</v>
      </c>
      <c r="K31" s="4" t="s">
        <f>IF(MIN(C31:H31)&gt;17,"Pass","Fail")</f>
        <v>8</v>
      </c>
    </row>
    <row r="32" spans="1:11" customHeight="1" ht="21.95">
      <c r="A32" s="11">
        <v>3130</v>
      </c>
      <c r="B32" s="12" t="inlineStr">
        <is>
          <t>Pratik Bhagat</t>
        </is>
      </c>
      <c r="C32" s="9">
        <v>24</v>
      </c>
      <c r="D32" s="9">
        <v>28</v>
      </c>
      <c r="E32" s="9">
        <v>24</v>
      </c>
      <c r="F32" s="9">
        <v>26</v>
      </c>
      <c r="G32" s="9">
        <v>25</v>
      </c>
      <c r="H32" s="9">
        <v>22</v>
      </c>
      <c r="I32" s="9">
        <f>SUM(C32:H32)</f>
        <v>149</v>
      </c>
      <c r="J32" s="9">
        <f>I32/300*100</f>
        <v>49.666666666666664</v>
      </c>
      <c r="K32" s="4" t="s">
        <f>IF(MIN(C32:H32)&gt;17,"Pass","Fail")</f>
        <v>7</v>
      </c>
    </row>
    <row r="33" spans="1:11" customHeight="1" ht="21.95">
      <c r="A33" s="11">
        <v>3131</v>
      </c>
      <c r="B33" s="12" t="inlineStr">
        <is>
          <t>Pratima Magar</t>
        </is>
      </c>
      <c r="C33" s="9">
        <v>21</v>
      </c>
      <c r="D33" s="9">
        <v>39</v>
      </c>
      <c r="E33" s="9">
        <v>34</v>
      </c>
      <c r="F33" s="9">
        <v>21</v>
      </c>
      <c r="G33" s="9">
        <v>20</v>
      </c>
      <c r="H33" s="9">
        <v>30</v>
      </c>
      <c r="I33" s="9">
        <f>SUM(C33:H33)</f>
        <v>165</v>
      </c>
      <c r="J33" s="9">
        <f>I33/300*100</f>
        <v>55.000000000000007</v>
      </c>
      <c r="K33" s="4" t="s">
        <f>IF(MIN(C33:H33)&gt;17,"Pass","Fail")</f>
        <v>7</v>
      </c>
    </row>
    <row r="34" spans="1:11" customHeight="1" ht="21.95">
      <c r="A34" s="11">
        <v>3132</v>
      </c>
      <c r="B34" s="12" t="inlineStr">
        <is>
          <t>Punam Karki</t>
        </is>
      </c>
      <c r="C34" s="9">
        <v>9</v>
      </c>
      <c r="D34" s="9">
        <v>25</v>
      </c>
      <c r="E34" s="9">
        <v>2</v>
      </c>
      <c r="F34" s="9">
        <v>13</v>
      </c>
      <c r="G34" s="9">
        <v>11</v>
      </c>
      <c r="H34" s="9">
        <v>22</v>
      </c>
      <c r="I34" s="9">
        <f>SUM(C34:H34)</f>
        <v>82</v>
      </c>
      <c r="J34" s="9">
        <f>I34/300*100</f>
        <v>27.333333333333332</v>
      </c>
      <c r="K34" s="4" t="s">
        <f>IF(MIN(C34:H34)&gt;17,"Pass","Fail")</f>
        <v>8</v>
      </c>
    </row>
    <row r="35" spans="1:11" customHeight="1" ht="21.95">
      <c r="A35" s="11">
        <v>3133</v>
      </c>
      <c r="B35" s="12" t="inlineStr">
        <is>
          <t>Radhika Dhakal</t>
        </is>
      </c>
      <c r="C35" s="9">
        <v>14</v>
      </c>
      <c r="D35" s="9">
        <v>29</v>
      </c>
      <c r="E35" s="9">
        <v>20</v>
      </c>
      <c r="F35" s="9">
        <v>20</v>
      </c>
      <c r="G35" s="9">
        <v>11</v>
      </c>
      <c r="H35" s="9">
        <v>22</v>
      </c>
      <c r="I35" s="9">
        <f>SUM(C35:H35)</f>
        <v>116</v>
      </c>
      <c r="J35" s="9">
        <f>I35/300*100</f>
        <v>38.666666666666664</v>
      </c>
      <c r="K35" s="4" t="s">
        <f>IF(MIN(C35:H35)&gt;17,"Pass","Fail")</f>
        <v>8</v>
      </c>
    </row>
    <row r="36" spans="1:11" customHeight="1" ht="21.95">
      <c r="A36" s="11">
        <v>3134</v>
      </c>
      <c r="B36" s="12" t="inlineStr">
        <is>
          <t>Rinky Kumari Ray</t>
        </is>
      </c>
      <c r="C36" s="9">
        <v>8</v>
      </c>
      <c r="D36" s="9">
        <v>37</v>
      </c>
      <c r="E36" s="9">
        <v>28</v>
      </c>
      <c r="F36" s="9">
        <v>28</v>
      </c>
      <c r="G36" s="9">
        <v>14</v>
      </c>
      <c r="H36" s="9">
        <v>18</v>
      </c>
      <c r="I36" s="9">
        <f>SUM(C36:H36)</f>
        <v>133</v>
      </c>
      <c r="J36" s="9">
        <f>I36/300*100</f>
        <v>44.333333333333336</v>
      </c>
      <c r="K36" s="4" t="s">
        <f>IF(MIN(C36:H36)&gt;17,"Pass","Fail")</f>
        <v>8</v>
      </c>
    </row>
    <row r="37" spans="1:11" customHeight="1" ht="21.95">
      <c r="A37" s="11">
        <v>3135</v>
      </c>
      <c r="B37" s="12" t="s">
        <v>18</v>
      </c>
      <c r="C37" s="9">
        <v>20</v>
      </c>
      <c r="D37" s="9">
        <v>38</v>
      </c>
      <c r="E37" s="9">
        <v>27</v>
      </c>
      <c r="F37" s="9">
        <v>20</v>
      </c>
      <c r="G37" s="9">
        <v>13</v>
      </c>
      <c r="H37" s="9">
        <v>22</v>
      </c>
      <c r="I37" s="9">
        <f>SUM(C37:H37)</f>
        <v>140</v>
      </c>
      <c r="J37" s="9">
        <f>I37/300*100</f>
        <v>46.666666666666664</v>
      </c>
      <c r="K37" s="4" t="s">
        <f>IF(MIN(C37:H37)&gt;17,"Pass","Fail")</f>
        <v>8</v>
      </c>
    </row>
    <row r="38" spans="1:11" customHeight="1" ht="21.95">
      <c r="A38" s="11">
        <v>3136</v>
      </c>
      <c r="B38" s="12" t="inlineStr">
        <is>
          <t>Salina Dewan</t>
        </is>
      </c>
      <c r="C38" s="9">
        <v>18</v>
      </c>
      <c r="D38" s="9">
        <v>24</v>
      </c>
      <c r="E38" s="9">
        <v>13</v>
      </c>
      <c r="F38" s="9">
        <v>6</v>
      </c>
      <c r="G38" s="9">
        <v>5</v>
      </c>
      <c r="H38" s="9">
        <v>18</v>
      </c>
      <c r="I38" s="9">
        <f>SUM(C38:H38)</f>
        <v>84</v>
      </c>
      <c r="J38" s="9">
        <f>I38/300*100</f>
        <v>28.000000000000004</v>
      </c>
      <c r="K38" s="4" t="s">
        <f>IF(MIN(C38:H38)&gt;17,"Pass","Fail")</f>
        <v>8</v>
      </c>
    </row>
    <row r="39" spans="1:11" customHeight="1" ht="21.95">
      <c r="A39" s="11">
        <v>3137</v>
      </c>
      <c r="B39" s="12" t="inlineStr">
        <is>
          <t>Samir Rai</t>
        </is>
      </c>
      <c r="C39" s="9">
        <v>18</v>
      </c>
      <c r="D39" s="9">
        <v>24</v>
      </c>
      <c r="E39" s="9">
        <v>18</v>
      </c>
      <c r="F39" s="9">
        <v>21</v>
      </c>
      <c r="G39" s="9">
        <v>24</v>
      </c>
      <c r="H39" s="9">
        <v>22</v>
      </c>
      <c r="I39" s="9">
        <f>SUM(C39:H39)</f>
        <v>127</v>
      </c>
      <c r="J39" s="9">
        <f>I39/300*100</f>
        <v>42.333333333333336</v>
      </c>
      <c r="K39" s="4" t="s">
        <f>IF(MIN(C39:H39)&gt;17,"Pass","Fail")</f>
        <v>7</v>
      </c>
    </row>
    <row r="40" spans="1:11" customHeight="1" ht="21.95">
      <c r="A40" s="11">
        <v>3138</v>
      </c>
      <c r="B40" s="12" t="inlineStr">
        <is>
          <t>Sarthak Hajari</t>
        </is>
      </c>
      <c r="C40" s="2"/>
      <c r="D40" s="2" t="s">
        <v>9</v>
      </c>
      <c r="E40" s="2" t="s">
        <v>9</v>
      </c>
      <c r="F40" s="2"/>
      <c r="G40" s="2" t="s">
        <v>10</v>
      </c>
      <c r="H40" s="2" t="s">
        <v>10</v>
      </c>
      <c r="I40" s="9">
        <f>SUM(C40:H40)</f>
        <v>0</v>
      </c>
      <c r="J40" s="9">
        <f>I40/300*100</f>
        <v>0</v>
      </c>
      <c r="K40" s="4" t="s">
        <f>IF(MIN(C40:H40)&gt;17,"Pass","Fail")</f>
        <v>8</v>
      </c>
    </row>
    <row r="41" spans="1:11" customHeight="1" ht="21.95">
      <c r="A41" s="11">
        <v>3139</v>
      </c>
      <c r="B41" s="12" t="inlineStr">
        <is>
          <t>Sesema Hangshrong Limbu</t>
        </is>
      </c>
      <c r="C41" s="9">
        <v>33</v>
      </c>
      <c r="D41" s="9">
        <v>34</v>
      </c>
      <c r="E41" s="9">
        <v>31</v>
      </c>
      <c r="F41" s="9">
        <v>22</v>
      </c>
      <c r="G41" s="9">
        <v>22</v>
      </c>
      <c r="H41" s="9">
        <v>30</v>
      </c>
      <c r="I41" s="9">
        <f>SUM(C41:H41)</f>
        <v>172</v>
      </c>
      <c r="J41" s="9">
        <f>I41/300*100</f>
        <v>57.333333333333336</v>
      </c>
      <c r="K41" s="4" t="s">
        <f>IF(MIN(C41:H41)&gt;17,"Pass","Fail")</f>
        <v>7</v>
      </c>
    </row>
    <row r="42" spans="1:11" customHeight="1" ht="21.95">
      <c r="A42" s="11">
        <v>3140</v>
      </c>
      <c r="B42" s="12" t="inlineStr">
        <is>
          <t>Shital Karki</t>
        </is>
      </c>
      <c r="C42" s="9">
        <v>14</v>
      </c>
      <c r="D42" s="9">
        <v>32</v>
      </c>
      <c r="E42" s="9">
        <v>26</v>
      </c>
      <c r="F42" s="9">
        <v>13</v>
      </c>
      <c r="G42" s="9">
        <v>18</v>
      </c>
      <c r="H42" s="9">
        <v>14</v>
      </c>
      <c r="I42" s="9">
        <f>SUM(C42:H42)</f>
        <v>117</v>
      </c>
      <c r="J42" s="9">
        <f>I42/300*100</f>
        <v>39</v>
      </c>
      <c r="K42" s="4" t="s">
        <f>IF(MIN(C42:H42)&gt;17,"Pass","Fail")</f>
        <v>8</v>
      </c>
    </row>
    <row r="43" spans="1:11" customHeight="1" ht="21.95">
      <c r="A43" s="11">
        <v>3141</v>
      </c>
      <c r="B43" s="12" t="inlineStr">
        <is>
          <t>Shristi Singh</t>
        </is>
      </c>
      <c r="C43" s="9">
        <v>25</v>
      </c>
      <c r="D43" s="9">
        <v>35</v>
      </c>
      <c r="E43" s="9">
        <v>30</v>
      </c>
      <c r="F43" s="9">
        <v>27</v>
      </c>
      <c r="G43" s="9">
        <v>24</v>
      </c>
      <c r="H43" s="9">
        <v>31</v>
      </c>
      <c r="I43" s="9">
        <f>SUM(C43:H43)</f>
        <v>172</v>
      </c>
      <c r="J43" s="9">
        <f>I43/300*100</f>
        <v>57.333333333333336</v>
      </c>
      <c r="K43" s="4" t="s">
        <f>IF(MIN(C43:H43)&gt;17,"Pass","Fail")</f>
        <v>7</v>
      </c>
    </row>
    <row r="44" spans="1:11" customHeight="1" ht="21.95">
      <c r="A44" s="11">
        <v>3142</v>
      </c>
      <c r="B44" s="12" t="inlineStr">
        <is>
          <t>Sneha Shah</t>
        </is>
      </c>
      <c r="C44" s="9">
        <v>18</v>
      </c>
      <c r="D44" s="9">
        <v>37</v>
      </c>
      <c r="E44" s="9">
        <v>30</v>
      </c>
      <c r="F44" s="9">
        <v>24</v>
      </c>
      <c r="G44" s="9">
        <v>21</v>
      </c>
      <c r="H44" s="9">
        <v>30</v>
      </c>
      <c r="I44" s="9">
        <f>SUM(C44:H44)</f>
        <v>160</v>
      </c>
      <c r="J44" s="9">
        <f>I44/300*100</f>
        <v>53.333333333333336</v>
      </c>
      <c r="K44" s="4" t="s">
        <f>IF(MIN(C44:H44)&gt;17,"Pass","Fail")</f>
        <v>7</v>
      </c>
    </row>
    <row r="45" spans="1:11" customHeight="1" ht="21.95">
      <c r="A45" s="11">
        <v>3143</v>
      </c>
      <c r="B45" s="12" t="inlineStr">
        <is>
          <t>Sujan Khatri</t>
        </is>
      </c>
      <c r="C45" s="9">
        <v>23</v>
      </c>
      <c r="D45" s="9">
        <v>38</v>
      </c>
      <c r="E45" s="9">
        <v>31</v>
      </c>
      <c r="F45" s="9">
        <v>18</v>
      </c>
      <c r="G45" s="9">
        <v>21</v>
      </c>
      <c r="H45" s="9">
        <v>26</v>
      </c>
      <c r="I45" s="9">
        <f>SUM(C45:H45)</f>
        <v>157</v>
      </c>
      <c r="J45" s="9">
        <f>I45/300*100</f>
        <v>52.333333333333329</v>
      </c>
      <c r="K45" s="4" t="s">
        <f>IF(MIN(C45:H45)&gt;17,"Pass","Fail")</f>
        <v>7</v>
      </c>
    </row>
    <row r="46" spans="1:11" customHeight="1" ht="21.95">
      <c r="A46" s="11">
        <v>3144</v>
      </c>
      <c r="B46" s="12" t="inlineStr">
        <is>
          <t>Tulasa Ghimire</t>
        </is>
      </c>
      <c r="C46" s="9">
        <v>12</v>
      </c>
      <c r="D46" s="9">
        <v>31</v>
      </c>
      <c r="E46" s="9">
        <v>20</v>
      </c>
      <c r="F46" s="9">
        <v>9</v>
      </c>
      <c r="G46" s="9">
        <v>20</v>
      </c>
      <c r="H46" s="9">
        <v>18</v>
      </c>
      <c r="I46" s="9">
        <f>SUM(C46:H46)</f>
        <v>110</v>
      </c>
      <c r="J46" s="9">
        <f>I46/300*100</f>
        <v>36.666666666666664</v>
      </c>
      <c r="K46" s="4" t="s">
        <f>IF(MIN(C46:H46)&gt;17,"Pass","Fail")</f>
        <v>8</v>
      </c>
    </row>
    <row r="47" spans="1:11" customHeight="1" ht="21.95">
      <c r="A47" s="11">
        <v>3145</v>
      </c>
      <c r="B47" s="12" t="inlineStr">
        <is>
          <t>Yuna Danuwar</t>
        </is>
      </c>
      <c r="C47" s="9">
        <v>23</v>
      </c>
      <c r="D47" s="9">
        <v>33</v>
      </c>
      <c r="E47" s="9">
        <v>27</v>
      </c>
      <c r="F47" s="9">
        <v>20</v>
      </c>
      <c r="G47" s="9">
        <v>23</v>
      </c>
      <c r="H47" s="9">
        <v>18</v>
      </c>
      <c r="I47" s="9">
        <f>SUM(C47:H47)</f>
        <v>144</v>
      </c>
      <c r="J47" s="9">
        <f>I47/300*100</f>
        <v>48</v>
      </c>
      <c r="K47" s="4" t="s">
        <f>IF(MIN(C47:H47)&gt;17,"Pass","Fail")</f>
        <v>7</v>
      </c>
    </row>
    <row r="48" spans="1:11" customHeight="1" ht="21.95">
      <c r="A48" s="11">
        <v>3146</v>
      </c>
      <c r="B48" s="12" t="inlineStr">
        <is>
          <t>Yuna Khadka</t>
        </is>
      </c>
      <c r="C48" s="9">
        <v>18</v>
      </c>
      <c r="D48" s="9">
        <v>34</v>
      </c>
      <c r="E48" s="9">
        <v>21</v>
      </c>
      <c r="F48" s="9">
        <v>15</v>
      </c>
      <c r="G48" s="9">
        <v>23</v>
      </c>
      <c r="H48" s="9">
        <v>11</v>
      </c>
      <c r="I48" s="9">
        <f>SUM(C48:H48)</f>
        <v>122</v>
      </c>
      <c r="J48" s="9">
        <f>I48/300*100</f>
        <v>40.666666666666664</v>
      </c>
      <c r="K48" s="4" t="s">
        <f>IF(MIN(C48:H48)&gt;17,"Pass","Fail")</f>
        <v>8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orientation="portrait" pageOrder="downThenOver" paperSize="9" scale="100" useFirstPageNumber="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K47"/>
  <sheetViews>
    <sheetView topLeftCell="A28" workbookViewId="0">
      <selection activeCell="K2" sqref="K2:K3"/>
    </sheetView>
  </sheetViews>
  <sheetFormatPr defaultColWidth="67.5" defaultRowHeight="15"/>
  <cols>
    <col min="1" max="1" style="1" width="5" bestFit="1" customWidth="1"/>
    <col min="2" max="2" style="1" width="22.7109375" bestFit="1" customWidth="1"/>
    <col min="3" max="3" style="1" width="7.140625" bestFit="1" customWidth="1"/>
    <col min="4" max="5" style="1" width="6.140625" bestFit="1" customWidth="1"/>
    <col min="6" max="6" style="1" width="4.85546875" bestFit="1" customWidth="1"/>
    <col min="7" max="7" style="1" width="4.28515625" bestFit="1" customWidth="1"/>
    <col min="8" max="8" style="1" width="8.7109375" bestFit="1" customWidth="1"/>
    <col min="9" max="9" style="1" width="5" bestFit="1" customWidth="1"/>
    <col min="10" max="10" style="1" width="5.5703125" bestFit="1" customWidth="1"/>
    <col min="11" max="11" style="1" width="8.5703125" bestFit="1" customWidth="1"/>
    <col min="12" max="16384" style="1" width="12.856370192307693"/>
  </cols>
  <sheetData>
    <row r="1" spans="1:11" customHeight="1" ht="21.95">
      <c r="A1" s="2"/>
      <c r="B1" s="3" t="inlineStr">
        <is>
          <t>CITIZENS-XI</t>
        </is>
      </c>
      <c r="C1" s="2"/>
      <c r="D1" s="2"/>
      <c r="E1" s="2"/>
      <c r="F1" s="2"/>
      <c r="G1" s="2"/>
      <c r="H1" s="2"/>
      <c r="I1" s="2"/>
      <c r="J1" s="2"/>
      <c r="K1" s="4"/>
    </row>
    <row r="2" spans="1:11" customHeight="1" ht="21.95">
      <c r="A2" s="5" t="s">
        <v>0</v>
      </c>
      <c r="B2" s="5" t="s">
        <v>1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2</v>
      </c>
      <c r="I2" s="6" t="s">
        <v>3</v>
      </c>
      <c r="J2" s="6" t="s">
        <v>4</v>
      </c>
      <c r="K2" s="4" t="s">
        <v>5</v>
      </c>
    </row>
    <row r="3" spans="1:11" customHeight="1" ht="21.95">
      <c r="A3" s="11">
        <v>3201</v>
      </c>
      <c r="B3" s="12" t="inlineStr">
        <is>
          <t>Aaditya Jung Puri</t>
        </is>
      </c>
      <c r="C3" s="9">
        <v>29</v>
      </c>
      <c r="D3" s="9">
        <v>32</v>
      </c>
      <c r="E3" s="9">
        <v>20</v>
      </c>
      <c r="F3" s="9">
        <v>18</v>
      </c>
      <c r="G3" s="9">
        <v>16</v>
      </c>
      <c r="H3" s="9">
        <v>28</v>
      </c>
      <c r="I3" s="9">
        <f>SUM(C3:H3)</f>
        <v>143</v>
      </c>
      <c r="J3" s="13">
        <f>I3/300*100</f>
        <v>47.666666666666671</v>
      </c>
      <c r="K3" s="4" t="s">
        <f>IF(MIN(C3:H3)&gt;17,"Pass","Fail")</f>
        <v>8</v>
      </c>
    </row>
    <row r="4" spans="1:11" customHeight="1" ht="21.95">
      <c r="A4" s="11">
        <v>3202</v>
      </c>
      <c r="B4" s="12" t="inlineStr">
        <is>
          <t>Aadiya Narayan Chaudhary</t>
        </is>
      </c>
      <c r="C4" s="9">
        <v>13</v>
      </c>
      <c r="D4" s="9">
        <v>21</v>
      </c>
      <c r="E4" s="9">
        <v>9</v>
      </c>
      <c r="F4" s="9">
        <v>8</v>
      </c>
      <c r="G4" s="9">
        <v>4</v>
      </c>
      <c r="H4" s="9">
        <v>18</v>
      </c>
      <c r="I4" s="9">
        <f>SUM(C4:H4)</f>
        <v>73</v>
      </c>
      <c r="J4" s="13">
        <f>I4/300*100</f>
        <v>24.333333333333336</v>
      </c>
      <c r="K4" s="4" t="s">
        <f>IF(MIN(C4:H4)&gt;17,"Pass","Fail")</f>
        <v>8</v>
      </c>
    </row>
    <row r="5" spans="1:11" customHeight="1" ht="21.95">
      <c r="A5" s="11">
        <v>3203</v>
      </c>
      <c r="B5" s="12" t="inlineStr">
        <is>
          <t>Aayush Chaudhary</t>
        </is>
      </c>
      <c r="C5" s="9">
        <v>6</v>
      </c>
      <c r="D5" s="9">
        <v>9</v>
      </c>
      <c r="E5" s="9">
        <v>1</v>
      </c>
      <c r="F5" s="9">
        <v>1</v>
      </c>
      <c r="G5" s="9">
        <v>3</v>
      </c>
      <c r="H5" s="9">
        <v>18</v>
      </c>
      <c r="I5" s="9">
        <f>SUM(C5:H5)</f>
        <v>38</v>
      </c>
      <c r="J5" s="13">
        <f>I5/300*100</f>
        <v>12.666666666666668</v>
      </c>
      <c r="K5" s="4" t="s">
        <f>IF(MIN(C5:H5)&gt;17,"Pass","Fail")</f>
        <v>8</v>
      </c>
    </row>
    <row r="6" spans="1:11" customHeight="1" ht="21.95">
      <c r="A6" s="11">
        <v>3204</v>
      </c>
      <c r="B6" s="12" t="inlineStr">
        <is>
          <t>Abash Chaudhary</t>
        </is>
      </c>
      <c r="C6" s="9">
        <v>7</v>
      </c>
      <c r="D6" s="9">
        <v>18</v>
      </c>
      <c r="E6" s="9">
        <v>7</v>
      </c>
      <c r="F6" s="9">
        <v>5</v>
      </c>
      <c r="G6" s="9">
        <v>2</v>
      </c>
      <c r="H6" s="9">
        <v>12</v>
      </c>
      <c r="I6" s="9">
        <f>SUM(C6:H6)</f>
        <v>51</v>
      </c>
      <c r="J6" s="13">
        <f>I6/300*100</f>
        <v>17</v>
      </c>
      <c r="K6" s="4" t="s">
        <f>IF(MIN(C6:H6)&gt;17,"Pass","Fail")</f>
        <v>8</v>
      </c>
    </row>
    <row r="7" spans="1:11" customHeight="1" ht="21.95">
      <c r="A7" s="11">
        <v>3205</v>
      </c>
      <c r="B7" s="12" t="inlineStr">
        <is>
          <t>Adarsh Chaudhary</t>
        </is>
      </c>
      <c r="C7" s="9">
        <v>22</v>
      </c>
      <c r="D7" s="9">
        <v>20</v>
      </c>
      <c r="E7" s="9">
        <v>18</v>
      </c>
      <c r="F7" s="9">
        <v>4</v>
      </c>
      <c r="G7" s="9">
        <v>7</v>
      </c>
      <c r="H7" s="9">
        <v>18</v>
      </c>
      <c r="I7" s="9">
        <f>SUM(C7:H7)</f>
        <v>89</v>
      </c>
      <c r="J7" s="13">
        <f>I7/300*100</f>
        <v>29.666666666666668</v>
      </c>
      <c r="K7" s="4" t="s">
        <f>IF(MIN(C7:H7)&gt;17,"Pass","Fail")</f>
        <v>8</v>
      </c>
    </row>
    <row r="8" spans="1:11" customHeight="1" ht="21.95">
      <c r="A8" s="11">
        <v>3206</v>
      </c>
      <c r="B8" s="12" t="inlineStr">
        <is>
          <t>Adhav Chaudhary</t>
        </is>
      </c>
      <c r="C8" s="9">
        <v>18</v>
      </c>
      <c r="D8" s="9">
        <v>9</v>
      </c>
      <c r="E8" s="9">
        <v>1</v>
      </c>
      <c r="F8" s="9">
        <v>2</v>
      </c>
      <c r="G8" s="9">
        <v>2</v>
      </c>
      <c r="H8" s="9">
        <v>18</v>
      </c>
      <c r="I8" s="9">
        <f>SUM(C8:H8)</f>
        <v>50</v>
      </c>
      <c r="J8" s="13">
        <f>I8/300*100</f>
        <v>16.666666666666664</v>
      </c>
      <c r="K8" s="4" t="s">
        <f>IF(MIN(C8:H8)&gt;17,"Pass","Fail")</f>
        <v>8</v>
      </c>
    </row>
    <row r="9" spans="1:11" customHeight="1" ht="21.95">
      <c r="A9" s="11">
        <v>3207</v>
      </c>
      <c r="B9" s="12" t="inlineStr">
        <is>
          <t>Adit Khadka</t>
        </is>
      </c>
      <c r="C9" s="9">
        <v>22</v>
      </c>
      <c r="D9" s="9">
        <v>25</v>
      </c>
      <c r="E9" s="9">
        <v>26</v>
      </c>
      <c r="F9" s="9">
        <v>1</v>
      </c>
      <c r="G9" s="9">
        <v>18</v>
      </c>
      <c r="H9" s="9">
        <v>28</v>
      </c>
      <c r="I9" s="9">
        <f>SUM(C9:H9)</f>
        <v>120</v>
      </c>
      <c r="J9" s="13">
        <f>I9/300*100</f>
        <v>40</v>
      </c>
      <c r="K9" s="4" t="s">
        <f>IF(MIN(C9:H9)&gt;17,"Pass","Fail")</f>
        <v>8</v>
      </c>
    </row>
    <row r="10" spans="1:11" customHeight="1" ht="21.95">
      <c r="A10" s="11">
        <v>3208</v>
      </c>
      <c r="B10" s="12" t="inlineStr">
        <is>
          <t>Akriti Shrestha</t>
        </is>
      </c>
      <c r="C10" s="9">
        <v>18</v>
      </c>
      <c r="D10" s="9">
        <v>33</v>
      </c>
      <c r="E10" s="9">
        <v>18</v>
      </c>
      <c r="F10" s="9">
        <v>20</v>
      </c>
      <c r="G10" s="9">
        <v>18</v>
      </c>
      <c r="H10" s="9">
        <v>33</v>
      </c>
      <c r="I10" s="9">
        <f>SUM(C10:H10)</f>
        <v>140</v>
      </c>
      <c r="J10" s="13">
        <f>I10/300*100</f>
        <v>46.666666666666664</v>
      </c>
      <c r="K10" s="4" t="s">
        <f>IF(MIN(C10:H10)&gt;17,"Pass","Fail")</f>
        <v>7</v>
      </c>
    </row>
    <row r="11" spans="1:11" customHeight="1" ht="21.95">
      <c r="A11" s="11">
        <v>3209</v>
      </c>
      <c r="B11" s="12" t="inlineStr">
        <is>
          <t>Aman Kumar Majhi</t>
        </is>
      </c>
      <c r="C11" s="2"/>
      <c r="D11" s="2" t="s">
        <v>19</v>
      </c>
      <c r="E11" s="2" t="s">
        <v>10</v>
      </c>
      <c r="F11" s="2" t="s">
        <v>20</v>
      </c>
      <c r="G11" s="2" t="s">
        <v>17</v>
      </c>
      <c r="H11" s="2" t="s">
        <v>17</v>
      </c>
      <c r="I11" s="9">
        <f>SUM(C11:H11)</f>
        <v>0</v>
      </c>
      <c r="J11" s="13">
        <f>I11/300*100</f>
        <v>0</v>
      </c>
      <c r="K11" s="4" t="s">
        <f>IF(MIN(C11:H11)&gt;17,"Pass","Fail")</f>
        <v>8</v>
      </c>
    </row>
    <row r="12" spans="1:11" customHeight="1" ht="21.95">
      <c r="A12" s="11">
        <v>3210</v>
      </c>
      <c r="B12" s="12" t="inlineStr">
        <is>
          <t>Angel Limbu</t>
        </is>
      </c>
      <c r="C12" s="9">
        <v>27</v>
      </c>
      <c r="D12" s="9">
        <v>27</v>
      </c>
      <c r="E12" s="9">
        <v>19</v>
      </c>
      <c r="F12" s="9">
        <v>7</v>
      </c>
      <c r="G12" s="9">
        <v>12</v>
      </c>
      <c r="H12" s="9">
        <v>25</v>
      </c>
      <c r="I12" s="9">
        <f>SUM(C12:H12)</f>
        <v>117</v>
      </c>
      <c r="J12" s="13">
        <f>I12/300*100</f>
        <v>39</v>
      </c>
      <c r="K12" s="4" t="s">
        <f>IF(MIN(C12:H12)&gt;17,"Pass","Fail")</f>
        <v>8</v>
      </c>
    </row>
    <row r="13" spans="1:11" customHeight="1" ht="21.95">
      <c r="A13" s="11">
        <v>3211</v>
      </c>
      <c r="B13" s="12" t="inlineStr">
        <is>
          <t>Arbind Yadav</t>
        </is>
      </c>
      <c r="C13" s="9">
        <v>4</v>
      </c>
      <c r="D13" s="9">
        <v>7</v>
      </c>
      <c r="E13" s="9">
        <v>1</v>
      </c>
      <c r="F13" s="9">
        <v>2</v>
      </c>
      <c r="G13" s="9">
        <v>1</v>
      </c>
      <c r="H13" s="9">
        <v>12</v>
      </c>
      <c r="I13" s="9">
        <f>SUM(C13:H13)</f>
        <v>27</v>
      </c>
      <c r="J13" s="13">
        <f>I13/300*100</f>
        <v>9</v>
      </c>
      <c r="K13" s="4" t="s">
        <f>IF(MIN(C13:H13)&gt;17,"Pass","Fail")</f>
        <v>8</v>
      </c>
    </row>
    <row r="14" spans="1:11" customHeight="1" ht="21.95">
      <c r="A14" s="11">
        <v>3212</v>
      </c>
      <c r="B14" s="12" t="inlineStr">
        <is>
          <t>Arpan Gurung</t>
        </is>
      </c>
      <c r="C14" s="9">
        <v>20</v>
      </c>
      <c r="D14" s="9">
        <v>14</v>
      </c>
      <c r="E14" s="9">
        <v>2</v>
      </c>
      <c r="F14" s="9">
        <v>1</v>
      </c>
      <c r="G14" s="9">
        <v>4</v>
      </c>
      <c r="H14" s="9">
        <v>4</v>
      </c>
      <c r="I14" s="9">
        <f>SUM(C14:H14)</f>
        <v>45</v>
      </c>
      <c r="J14" s="13">
        <f>I14/300*100</f>
        <v>15</v>
      </c>
      <c r="K14" s="4" t="s">
        <f>IF(MIN(C14:H14)&gt;17,"Pass","Fail")</f>
        <v>8</v>
      </c>
    </row>
    <row r="15" spans="1:11" customHeight="1" ht="21.95">
      <c r="A15" s="11">
        <v>3213</v>
      </c>
      <c r="B15" s="12" t="inlineStr">
        <is>
          <t>Asmita Chaudhary</t>
        </is>
      </c>
      <c r="C15" s="9">
        <v>10</v>
      </c>
      <c r="D15" s="9">
        <v>7</v>
      </c>
      <c r="E15" s="9">
        <v>1</v>
      </c>
      <c r="F15" s="9">
        <v>3</v>
      </c>
      <c r="G15" s="9">
        <v>22</v>
      </c>
      <c r="H15" s="9">
        <v>18</v>
      </c>
      <c r="I15" s="9">
        <f>SUM(C15:H15)</f>
        <v>61</v>
      </c>
      <c r="J15" s="13">
        <f>I15/300*100</f>
        <v>20.333333333333332</v>
      </c>
      <c r="K15" s="4" t="s">
        <f>IF(MIN(C15:H15)&gt;17,"Pass","Fail")</f>
        <v>8</v>
      </c>
    </row>
    <row r="16" spans="1:11" customHeight="1" ht="21.95">
      <c r="A16" s="11">
        <v>3214</v>
      </c>
      <c r="B16" s="12" t="inlineStr">
        <is>
          <t>Binod Limbu</t>
        </is>
      </c>
      <c r="C16" s="9">
        <v>12</v>
      </c>
      <c r="D16" s="9">
        <v>16</v>
      </c>
      <c r="E16" s="9">
        <v>1</v>
      </c>
      <c r="F16" s="9">
        <v>2</v>
      </c>
      <c r="G16" s="9">
        <v>12</v>
      </c>
      <c r="H16" s="9">
        <v>18</v>
      </c>
      <c r="I16" s="9">
        <f>SUM(C16:H16)</f>
        <v>61</v>
      </c>
      <c r="J16" s="13">
        <f>I16/300*100</f>
        <v>20.333333333333332</v>
      </c>
      <c r="K16" s="4" t="s">
        <f>IF(MIN(C16:H16)&gt;17,"Pass","Fail")</f>
        <v>8</v>
      </c>
    </row>
    <row r="17" spans="1:11" customHeight="1" ht="21.95">
      <c r="A17" s="11">
        <v>3215</v>
      </c>
      <c r="B17" s="12" t="inlineStr">
        <is>
          <t>Debit Majhi</t>
        </is>
      </c>
      <c r="C17" s="9">
        <v>1</v>
      </c>
      <c r="D17" s="9">
        <v>22</v>
      </c>
      <c r="E17" s="9">
        <v>24</v>
      </c>
      <c r="F17" s="9">
        <v>2</v>
      </c>
      <c r="G17" s="9">
        <v>6</v>
      </c>
      <c r="H17" s="9">
        <v>18</v>
      </c>
      <c r="I17" s="9">
        <f>SUM(C17:H17)</f>
        <v>73</v>
      </c>
      <c r="J17" s="13">
        <f>I17/300*100</f>
        <v>24.333333333333336</v>
      </c>
      <c r="K17" s="4" t="s">
        <f>IF(MIN(C17:H17)&gt;17,"Pass","Fail")</f>
        <v>8</v>
      </c>
    </row>
    <row r="18" spans="1:11" customHeight="1" ht="21.95">
      <c r="A18" s="11">
        <v>3216</v>
      </c>
      <c r="B18" s="12" t="inlineStr">
        <is>
          <t>Dikshya Limbu</t>
        </is>
      </c>
      <c r="C18" s="9">
        <v>18</v>
      </c>
      <c r="D18" s="9">
        <v>21</v>
      </c>
      <c r="E18" s="9">
        <v>20</v>
      </c>
      <c r="F18" s="9">
        <v>1</v>
      </c>
      <c r="G18" s="9">
        <v>9</v>
      </c>
      <c r="H18" s="9">
        <v>9</v>
      </c>
      <c r="I18" s="9">
        <f>SUM(C18:H18)</f>
        <v>78</v>
      </c>
      <c r="J18" s="13">
        <f>I18/300*100</f>
        <v>26</v>
      </c>
      <c r="K18" s="4" t="s">
        <f>IF(MIN(C18:H18)&gt;17,"Pass","Fail")</f>
        <v>8</v>
      </c>
    </row>
    <row r="19" spans="1:11" customHeight="1" ht="21.95">
      <c r="A19" s="11">
        <v>3217</v>
      </c>
      <c r="B19" s="12" t="inlineStr">
        <is>
          <t>Dipika Baral</t>
        </is>
      </c>
      <c r="C19" s="9">
        <v>5</v>
      </c>
      <c r="D19" s="9">
        <v>19</v>
      </c>
      <c r="E19" s="9">
        <v>11</v>
      </c>
      <c r="F19" s="9">
        <v>2</v>
      </c>
      <c r="G19" s="9">
        <v>9</v>
      </c>
      <c r="H19" s="9">
        <v>9</v>
      </c>
      <c r="I19" s="9">
        <f>SUM(C19:H19)</f>
        <v>55</v>
      </c>
      <c r="J19" s="13">
        <f>I19/300*100</f>
        <v>18.333333333333332</v>
      </c>
      <c r="K19" s="4" t="s">
        <f>IF(MIN(C19:H19)&gt;17,"Pass","Fail")</f>
        <v>8</v>
      </c>
    </row>
    <row r="20" spans="1:11" customHeight="1" ht="21.95">
      <c r="A20" s="11">
        <v>3218</v>
      </c>
      <c r="B20" s="12" t="inlineStr">
        <is>
          <t>Diya Bishwakarma</t>
        </is>
      </c>
      <c r="C20" s="9">
        <v>27</v>
      </c>
      <c r="D20" s="9">
        <v>26</v>
      </c>
      <c r="E20" s="9">
        <v>14</v>
      </c>
      <c r="F20" s="9">
        <v>4</v>
      </c>
      <c r="G20" s="9">
        <v>2</v>
      </c>
      <c r="H20" s="9">
        <v>18</v>
      </c>
      <c r="I20" s="9">
        <f>SUM(C20:H20)</f>
        <v>91</v>
      </c>
      <c r="J20" s="13">
        <f>I20/300*100</f>
        <v>30.333333333333336</v>
      </c>
      <c r="K20" s="4" t="s">
        <f>IF(MIN(C20:H20)&gt;17,"Pass","Fail")</f>
        <v>8</v>
      </c>
    </row>
    <row r="21" spans="1:11" customHeight="1" ht="21.95">
      <c r="A21" s="11">
        <v>3219</v>
      </c>
      <c r="B21" s="12" t="inlineStr">
        <is>
          <t>Emo Rai</t>
        </is>
      </c>
      <c r="C21" s="9">
        <v>21</v>
      </c>
      <c r="D21" s="9">
        <v>21</v>
      </c>
      <c r="E21" s="9">
        <v>18</v>
      </c>
      <c r="F21" s="9">
        <v>1</v>
      </c>
      <c r="G21" s="9">
        <v>2</v>
      </c>
      <c r="H21" s="9">
        <v>21</v>
      </c>
      <c r="I21" s="9">
        <f>SUM(C21:H21)</f>
        <v>84</v>
      </c>
      <c r="J21" s="13">
        <f>I21/300*100</f>
        <v>28.000000000000004</v>
      </c>
      <c r="K21" s="4" t="s">
        <f>IF(MIN(C21:H21)&gt;17,"Pass","Fail")</f>
        <v>8</v>
      </c>
    </row>
    <row r="22" spans="1:11" customHeight="1" ht="21.95">
      <c r="A22" s="11">
        <v>3220</v>
      </c>
      <c r="B22" s="12" t="inlineStr">
        <is>
          <t>Indeep Karki</t>
        </is>
      </c>
      <c r="C22" s="9">
        <v>23</v>
      </c>
      <c r="D22" s="9">
        <v>27</v>
      </c>
      <c r="E22" s="9">
        <v>30</v>
      </c>
      <c r="F22" s="9">
        <v>13</v>
      </c>
      <c r="G22" s="9">
        <v>18</v>
      </c>
      <c r="H22" s="9">
        <v>32</v>
      </c>
      <c r="I22" s="9">
        <f>SUM(C22:H22)</f>
        <v>143</v>
      </c>
      <c r="J22" s="13">
        <f>I22/300*100</f>
        <v>47.666666666666671</v>
      </c>
      <c r="K22" s="4" t="s">
        <f>IF(MIN(C22:H22)&gt;17,"Pass","Fail")</f>
        <v>8</v>
      </c>
    </row>
    <row r="23" spans="1:11" customHeight="1" ht="21.95">
      <c r="A23" s="11">
        <v>3221</v>
      </c>
      <c r="B23" s="12" t="inlineStr">
        <is>
          <t>Jeshan Rai</t>
        </is>
      </c>
      <c r="C23" s="9">
        <v>21</v>
      </c>
      <c r="D23" s="9">
        <v>29</v>
      </c>
      <c r="E23" s="9">
        <v>24</v>
      </c>
      <c r="F23" s="9">
        <v>20</v>
      </c>
      <c r="G23" s="9">
        <v>18</v>
      </c>
      <c r="H23" s="9">
        <v>24</v>
      </c>
      <c r="I23" s="9">
        <f>SUM(C23:H23)</f>
        <v>136</v>
      </c>
      <c r="J23" s="13">
        <f>I23/300*100</f>
        <v>45.333333333333329</v>
      </c>
      <c r="K23" s="4" t="s">
        <f>IF(MIN(C23:H23)&gt;17,"Pass","Fail")</f>
        <v>7</v>
      </c>
    </row>
    <row r="24" spans="1:11" customHeight="1" ht="21.95">
      <c r="A24" s="11">
        <v>3222</v>
      </c>
      <c r="B24" s="12" t="inlineStr">
        <is>
          <t>Kabita Thapa</t>
        </is>
      </c>
      <c r="C24" s="9">
        <v>11</v>
      </c>
      <c r="D24" s="9">
        <v>18</v>
      </c>
      <c r="E24" s="9">
        <v>18</v>
      </c>
      <c r="F24" s="9">
        <v>1</v>
      </c>
      <c r="G24" s="9">
        <v>10</v>
      </c>
      <c r="H24" s="9">
        <v>8</v>
      </c>
      <c r="I24" s="9">
        <f>SUM(C24:H24)</f>
        <v>66</v>
      </c>
      <c r="J24" s="13">
        <f>I24/300*100</f>
        <v>22</v>
      </c>
      <c r="K24" s="4" t="s">
        <f>IF(MIN(C24:H24)&gt;17,"Pass","Fail")</f>
        <v>8</v>
      </c>
    </row>
    <row r="25" spans="1:11" customHeight="1" ht="21.95">
      <c r="A25" s="11">
        <v>3223</v>
      </c>
      <c r="B25" s="12" t="inlineStr">
        <is>
          <t>Kshitiz Thapa Magar</t>
        </is>
      </c>
      <c r="C25" s="9">
        <v>11</v>
      </c>
      <c r="D25" s="9">
        <v>26</v>
      </c>
      <c r="E25" s="9">
        <v>12</v>
      </c>
      <c r="F25" s="9">
        <v>7</v>
      </c>
      <c r="G25" s="9">
        <v>2</v>
      </c>
      <c r="H25" s="9">
        <v>6</v>
      </c>
      <c r="I25" s="9">
        <f>SUM(C25:H25)</f>
        <v>64</v>
      </c>
      <c r="J25" s="13">
        <f>I25/300*100</f>
        <v>21.333333333333336</v>
      </c>
      <c r="K25" s="4" t="s">
        <f>IF(MIN(C25:H25)&gt;17,"Pass","Fail")</f>
        <v>8</v>
      </c>
    </row>
    <row r="26" spans="1:11" customHeight="1" ht="21.95">
      <c r="A26" s="11">
        <v>3224</v>
      </c>
      <c r="B26" s="12" t="inlineStr">
        <is>
          <t>Kushal Adhikari</t>
        </is>
      </c>
      <c r="C26" s="9">
        <v>29</v>
      </c>
      <c r="D26" s="9">
        <v>22</v>
      </c>
      <c r="E26" s="9">
        <v>11</v>
      </c>
      <c r="F26" s="9">
        <v>2</v>
      </c>
      <c r="G26" s="9">
        <v>5</v>
      </c>
      <c r="H26" s="9">
        <v>7</v>
      </c>
      <c r="I26" s="9">
        <f>SUM(C26:H26)</f>
        <v>76</v>
      </c>
      <c r="J26" s="13">
        <f>I26/300*100</f>
        <v>25.333333333333336</v>
      </c>
      <c r="K26" s="4" t="s">
        <f>IF(MIN(C26:H26)&gt;17,"Pass","Fail")</f>
        <v>8</v>
      </c>
    </row>
    <row r="27" spans="1:11" customHeight="1" ht="21.95">
      <c r="A27" s="11">
        <v>3225</v>
      </c>
      <c r="B27" s="12" t="inlineStr">
        <is>
          <t>Manish Shah</t>
        </is>
      </c>
      <c r="C27" s="9">
        <v>10</v>
      </c>
      <c r="D27" s="9">
        <v>8</v>
      </c>
      <c r="E27" s="9">
        <v>1</v>
      </c>
      <c r="F27" s="9">
        <v>1</v>
      </c>
      <c r="G27" s="9">
        <v>5</v>
      </c>
      <c r="H27" s="9">
        <v>3</v>
      </c>
      <c r="I27" s="9">
        <f>SUM(C27:H27)</f>
        <v>28</v>
      </c>
      <c r="J27" s="13">
        <f>I27/300*100</f>
        <v>9.3333333333333339</v>
      </c>
      <c r="K27" s="4" t="s">
        <f>IF(MIN(C27:H27)&gt;17,"Pass","Fail")</f>
        <v>8</v>
      </c>
    </row>
    <row r="28" spans="1:11" customHeight="1" ht="21.95">
      <c r="A28" s="11">
        <v>3226</v>
      </c>
      <c r="B28" s="12" t="inlineStr">
        <is>
          <t>Pasang Sherpa</t>
        </is>
      </c>
      <c r="C28" s="9">
        <v>29</v>
      </c>
      <c r="D28" s="9">
        <v>36</v>
      </c>
      <c r="E28" s="9">
        <v>31</v>
      </c>
      <c r="F28" s="9">
        <v>39</v>
      </c>
      <c r="G28" s="9">
        <v>28</v>
      </c>
      <c r="H28" s="9">
        <v>32</v>
      </c>
      <c r="I28" s="9">
        <f>SUM(C28:H28)</f>
        <v>195</v>
      </c>
      <c r="J28" s="13">
        <f>I28/300*100</f>
        <v>65</v>
      </c>
      <c r="K28" s="4" t="s">
        <f>IF(MIN(C28:H28)&gt;17,"Pass","Fail")</f>
        <v>7</v>
      </c>
    </row>
    <row r="29" spans="1:11" customHeight="1" ht="21.95">
      <c r="A29" s="11">
        <v>3227</v>
      </c>
      <c r="B29" s="12" t="inlineStr">
        <is>
          <t>Prakriti Ale</t>
        </is>
      </c>
      <c r="C29" s="2"/>
      <c r="D29" s="2" t="s">
        <v>19</v>
      </c>
      <c r="E29" s="2" t="s">
        <v>10</v>
      </c>
      <c r="F29" s="2" t="s">
        <v>20</v>
      </c>
      <c r="G29" s="2" t="s">
        <v>17</v>
      </c>
      <c r="H29" s="2" t="s">
        <v>17</v>
      </c>
      <c r="I29" s="9">
        <f>SUM(C29:H29)</f>
        <v>0</v>
      </c>
      <c r="J29" s="13">
        <f>I29/300*100</f>
        <v>0</v>
      </c>
      <c r="K29" s="4" t="s">
        <f>IF(MIN(C29:H29)&gt;17,"Pass","Fail")</f>
        <v>8</v>
      </c>
    </row>
    <row r="30" spans="1:11" customHeight="1" ht="21.95">
      <c r="A30" s="11">
        <v>3228</v>
      </c>
      <c r="B30" s="12" t="inlineStr">
        <is>
          <t>Pratik Pokharel</t>
        </is>
      </c>
      <c r="C30" s="9">
        <v>13</v>
      </c>
      <c r="D30" s="9">
        <v>23</v>
      </c>
      <c r="E30" s="9">
        <v>13</v>
      </c>
      <c r="F30" s="9">
        <v>2</v>
      </c>
      <c r="G30" s="9">
        <v>12</v>
      </c>
      <c r="H30" s="9">
        <v>18</v>
      </c>
      <c r="I30" s="9">
        <f>SUM(C30:H30)</f>
        <v>81</v>
      </c>
      <c r="J30" s="13">
        <f>I30/300*100</f>
        <v>27</v>
      </c>
      <c r="K30" s="4" t="s">
        <f>IF(MIN(C30:H30)&gt;17,"Pass","Fail")</f>
        <v>8</v>
      </c>
    </row>
    <row r="31" spans="1:11" customHeight="1" ht="21.95">
      <c r="A31" s="11">
        <v>3229</v>
      </c>
      <c r="B31" s="12" t="inlineStr">
        <is>
          <t>Rajib Chaudhary</t>
        </is>
      </c>
      <c r="C31" s="9">
        <v>13</v>
      </c>
      <c r="D31" s="9">
        <v>18</v>
      </c>
      <c r="E31" s="9">
        <v>11</v>
      </c>
      <c r="F31" s="9">
        <v>14</v>
      </c>
      <c r="G31" s="9">
        <v>13</v>
      </c>
      <c r="H31" s="9">
        <v>10</v>
      </c>
      <c r="I31" s="9">
        <f>SUM(C31:H31)</f>
        <v>79</v>
      </c>
      <c r="J31" s="13">
        <f>I31/300*100</f>
        <v>26.333333333333332</v>
      </c>
      <c r="K31" s="4" t="s">
        <f>IF(MIN(C31:H31)&gt;17,"Pass","Fail")</f>
        <v>8</v>
      </c>
    </row>
    <row r="32" spans="1:11" customHeight="1" ht="21.95">
      <c r="A32" s="11">
        <v>3230</v>
      </c>
      <c r="B32" s="12" t="inlineStr">
        <is>
          <t>Raman Dangal</t>
        </is>
      </c>
      <c r="C32" s="9">
        <v>18</v>
      </c>
      <c r="D32" s="9">
        <v>18</v>
      </c>
      <c r="E32" s="9">
        <v>7</v>
      </c>
      <c r="F32" s="9">
        <v>12</v>
      </c>
      <c r="G32" s="9">
        <v>18</v>
      </c>
      <c r="H32" s="9">
        <v>18</v>
      </c>
      <c r="I32" s="9">
        <f>SUM(C32:H32)</f>
        <v>91</v>
      </c>
      <c r="J32" s="13">
        <f>I32/300*100</f>
        <v>30.333333333333336</v>
      </c>
      <c r="K32" s="4" t="s">
        <f>IF(MIN(C32:H32)&gt;17,"Pass","Fail")</f>
        <v>8</v>
      </c>
    </row>
    <row r="33" spans="1:11" customHeight="1" ht="21.95">
      <c r="A33" s="11">
        <v>3231</v>
      </c>
      <c r="B33" s="12" t="inlineStr">
        <is>
          <t>Reshma Dom</t>
        </is>
      </c>
      <c r="C33" s="9">
        <v>14</v>
      </c>
      <c r="D33" s="9">
        <v>20</v>
      </c>
      <c r="E33" s="9">
        <v>21</v>
      </c>
      <c r="F33" s="9">
        <v>7</v>
      </c>
      <c r="G33" s="9">
        <v>13</v>
      </c>
      <c r="H33" s="9">
        <v>12</v>
      </c>
      <c r="I33" s="9">
        <f>SUM(C33:H33)</f>
        <v>87</v>
      </c>
      <c r="J33" s="13">
        <f>I33/300*100</f>
        <v>28.999999999999996</v>
      </c>
      <c r="K33" s="4" t="s">
        <f>IF(MIN(C33:H33)&gt;17,"Pass","Fail")</f>
        <v>8</v>
      </c>
    </row>
    <row r="34" spans="1:11" customHeight="1" ht="21.95">
      <c r="A34" s="11">
        <v>3232</v>
      </c>
      <c r="B34" s="12" t="inlineStr">
        <is>
          <t>Roman Shrestha</t>
        </is>
      </c>
      <c r="C34" s="9">
        <v>29</v>
      </c>
      <c r="D34" s="9">
        <v>30</v>
      </c>
      <c r="E34" s="9">
        <v>39</v>
      </c>
      <c r="F34" s="9">
        <v>30</v>
      </c>
      <c r="G34" s="9">
        <v>32</v>
      </c>
      <c r="H34" s="9">
        <v>40</v>
      </c>
      <c r="I34" s="9">
        <f>SUM(C34:H34)</f>
        <v>200</v>
      </c>
      <c r="J34" s="13">
        <f>I34/300*100</f>
        <v>66.666666666666657</v>
      </c>
      <c r="K34" s="4" t="s">
        <f>IF(MIN(C34:H34)&gt;17,"Pass","Fail")</f>
        <v>7</v>
      </c>
    </row>
    <row r="35" spans="1:11" customHeight="1" ht="21.95">
      <c r="A35" s="11">
        <v>3233</v>
      </c>
      <c r="B35" s="12" t="inlineStr">
        <is>
          <t>Sajana Chamling Rai</t>
        </is>
      </c>
      <c r="C35" s="9">
        <v>18</v>
      </c>
      <c r="D35" s="9">
        <v>22</v>
      </c>
      <c r="E35" s="9">
        <v>27</v>
      </c>
      <c r="F35" s="9">
        <v>18</v>
      </c>
      <c r="G35" s="9">
        <v>18</v>
      </c>
      <c r="H35" s="9">
        <v>18</v>
      </c>
      <c r="I35" s="9">
        <f>SUM(C35:H35)</f>
        <v>121</v>
      </c>
      <c r="J35" s="13">
        <f>I35/300*100</f>
        <v>40.333333333333329</v>
      </c>
      <c r="K35" s="4" t="s">
        <f>IF(MIN(C35:H35)&gt;17,"Pass","Fail")</f>
        <v>7</v>
      </c>
    </row>
    <row r="36" spans="1:11" customHeight="1" ht="21.95">
      <c r="A36" s="11">
        <v>3234</v>
      </c>
      <c r="B36" s="12" t="inlineStr">
        <is>
          <t>Sandesh Rana Magar</t>
        </is>
      </c>
      <c r="C36" s="9">
        <v>18</v>
      </c>
      <c r="D36" s="9">
        <v>18</v>
      </c>
      <c r="E36" s="9">
        <v>11</v>
      </c>
      <c r="F36" s="9">
        <v>13</v>
      </c>
      <c r="G36" s="9">
        <v>18</v>
      </c>
      <c r="H36" s="9">
        <v>18</v>
      </c>
      <c r="I36" s="9">
        <f>SUM(C36:H36)</f>
        <v>96</v>
      </c>
      <c r="J36" s="13">
        <f>I36/300*100</f>
        <v>32</v>
      </c>
      <c r="K36" s="4" t="s">
        <f>IF(MIN(C36:H36)&gt;17,"Pass","Fail")</f>
        <v>8</v>
      </c>
    </row>
    <row r="37" spans="1:11" customHeight="1" ht="21.95">
      <c r="A37" s="11">
        <v>3235</v>
      </c>
      <c r="B37" s="12" t="inlineStr">
        <is>
          <t>Shristi Jayaswal</t>
        </is>
      </c>
      <c r="C37" s="9">
        <v>18</v>
      </c>
      <c r="D37" s="9">
        <v>18</v>
      </c>
      <c r="E37" s="9">
        <v>12</v>
      </c>
      <c r="F37" s="9">
        <v>12</v>
      </c>
      <c r="G37" s="9">
        <v>13</v>
      </c>
      <c r="H37" s="9">
        <v>11</v>
      </c>
      <c r="I37" s="9">
        <f>SUM(C37:H37)</f>
        <v>84</v>
      </c>
      <c r="J37" s="13">
        <f>I37/300*100</f>
        <v>28.000000000000004</v>
      </c>
      <c r="K37" s="4" t="s">
        <f>IF(MIN(C37:H37)&gt;17,"Pass","Fail")</f>
        <v>8</v>
      </c>
    </row>
    <row r="38" spans="1:11" customHeight="1" ht="21.95">
      <c r="A38" s="11">
        <v>3236</v>
      </c>
      <c r="B38" s="12" t="inlineStr">
        <is>
          <t>Shristi Shrestha</t>
        </is>
      </c>
      <c r="C38" s="9">
        <v>19</v>
      </c>
      <c r="D38" s="9">
        <v>18</v>
      </c>
      <c r="E38" s="9">
        <v>18</v>
      </c>
      <c r="F38" s="9">
        <v>8</v>
      </c>
      <c r="G38" s="9">
        <v>18</v>
      </c>
      <c r="H38" s="9">
        <v>18</v>
      </c>
      <c r="I38" s="9">
        <f>SUM(C38:H38)</f>
        <v>99</v>
      </c>
      <c r="J38" s="13">
        <f>I38/300*100</f>
        <v>33</v>
      </c>
      <c r="K38" s="4" t="s">
        <f>IF(MIN(C38:H38)&gt;17,"Pass","Fail")</f>
        <v>8</v>
      </c>
    </row>
    <row r="39" spans="1:11" customHeight="1" ht="21.95">
      <c r="A39" s="11">
        <v>3237</v>
      </c>
      <c r="B39" s="12" t="inlineStr">
        <is>
          <t>Siddhant Chaudhary</t>
        </is>
      </c>
      <c r="C39" s="9">
        <v>11</v>
      </c>
      <c r="D39" s="9">
        <v>14</v>
      </c>
      <c r="E39" s="9">
        <v>7</v>
      </c>
      <c r="F39" s="9">
        <v>7</v>
      </c>
      <c r="G39" s="9">
        <v>20</v>
      </c>
      <c r="H39" s="9">
        <v>18</v>
      </c>
      <c r="I39" s="9">
        <f>SUM(C39:H39)</f>
        <v>77</v>
      </c>
      <c r="J39" s="13">
        <f>I39/300*100</f>
        <v>25.666666666666664</v>
      </c>
      <c r="K39" s="4" t="s">
        <f>IF(MIN(C39:H39)&gt;17,"Pass","Fail")</f>
        <v>8</v>
      </c>
    </row>
    <row r="40" spans="1:11" customHeight="1" ht="21.95">
      <c r="A40" s="11">
        <v>3238</v>
      </c>
      <c r="B40" s="12" t="inlineStr">
        <is>
          <t>Smarika Rai</t>
        </is>
      </c>
      <c r="C40" s="9">
        <v>28</v>
      </c>
      <c r="D40" s="9">
        <v>26</v>
      </c>
      <c r="E40" s="9">
        <v>22</v>
      </c>
      <c r="F40" s="9">
        <v>20</v>
      </c>
      <c r="G40" s="9">
        <v>13</v>
      </c>
      <c r="H40" s="9">
        <v>25</v>
      </c>
      <c r="I40" s="9">
        <f>SUM(C40:H40)</f>
        <v>134</v>
      </c>
      <c r="J40" s="13">
        <f>I40/300*100</f>
        <v>44.666666666666664</v>
      </c>
      <c r="K40" s="4" t="s">
        <f>IF(MIN(C40:H40)&gt;17,"Pass","Fail")</f>
        <v>8</v>
      </c>
    </row>
    <row r="41" spans="1:11" customHeight="1" ht="21.95">
      <c r="A41" s="11">
        <v>3239</v>
      </c>
      <c r="B41" s="12" t="inlineStr">
        <is>
          <t>Sonam Chauhan</t>
        </is>
      </c>
      <c r="C41" s="9">
        <v>25</v>
      </c>
      <c r="D41" s="9">
        <v>27</v>
      </c>
      <c r="E41" s="9">
        <v>20</v>
      </c>
      <c r="F41" s="9">
        <v>28</v>
      </c>
      <c r="G41" s="9">
        <v>28</v>
      </c>
      <c r="H41" s="9">
        <v>30</v>
      </c>
      <c r="I41" s="9">
        <f>SUM(C41:H41)</f>
        <v>158</v>
      </c>
      <c r="J41" s="13">
        <f>I41/300*100</f>
        <v>52.666666666666664</v>
      </c>
      <c r="K41" s="4" t="s">
        <f>IF(MIN(C41:H41)&gt;17,"Pass","Fail")</f>
        <v>7</v>
      </c>
    </row>
    <row r="42" spans="1:11" customHeight="1" ht="21.95">
      <c r="A42" s="11">
        <v>3240</v>
      </c>
      <c r="B42" s="12" t="inlineStr">
        <is>
          <t>Soran Dhakal</t>
        </is>
      </c>
      <c r="C42" s="9">
        <v>26</v>
      </c>
      <c r="D42" s="9">
        <v>27</v>
      </c>
      <c r="E42" s="9">
        <v>26</v>
      </c>
      <c r="F42" s="9">
        <v>31</v>
      </c>
      <c r="G42" s="9">
        <v>32</v>
      </c>
      <c r="H42" s="9">
        <v>35</v>
      </c>
      <c r="I42" s="9">
        <f>SUM(C42:H42)</f>
        <v>177</v>
      </c>
      <c r="J42" s="13">
        <f>I42/300*100</f>
        <v>59</v>
      </c>
      <c r="K42" s="4" t="s">
        <f>IF(MIN(C42:H42)&gt;17,"Pass","Fail")</f>
        <v>7</v>
      </c>
    </row>
    <row r="43" spans="1:11" customHeight="1" ht="21.95">
      <c r="A43" s="11">
        <v>3241</v>
      </c>
      <c r="B43" s="12" t="inlineStr">
        <is>
          <t>Supriya Pariyar</t>
        </is>
      </c>
      <c r="C43" s="9">
        <v>12</v>
      </c>
      <c r="D43" s="9">
        <v>18</v>
      </c>
      <c r="E43" s="9">
        <v>3</v>
      </c>
      <c r="F43" s="9">
        <v>20</v>
      </c>
      <c r="G43" s="9">
        <v>26</v>
      </c>
      <c r="H43" s="9">
        <v>24</v>
      </c>
      <c r="I43" s="9">
        <f>SUM(C43:H43)</f>
        <v>103</v>
      </c>
      <c r="J43" s="13">
        <f>I43/300*100</f>
        <v>34.333333333333336</v>
      </c>
      <c r="K43" s="4" t="s">
        <f>IF(MIN(C43:H43)&gt;17,"Pass","Fail")</f>
        <v>8</v>
      </c>
    </row>
    <row r="44" spans="1:11" customHeight="1" ht="21.95">
      <c r="A44" s="11">
        <v>3242</v>
      </c>
      <c r="B44" s="12" t="inlineStr">
        <is>
          <t>Syadu Magar</t>
        </is>
      </c>
      <c r="C44" s="9">
        <v>19</v>
      </c>
      <c r="D44" s="9">
        <v>27</v>
      </c>
      <c r="E44" s="9">
        <v>11</v>
      </c>
      <c r="F44" s="9">
        <v>20</v>
      </c>
      <c r="G44" s="9">
        <v>23</v>
      </c>
      <c r="H44" s="9">
        <v>23</v>
      </c>
      <c r="I44" s="9">
        <f>SUM(C44:H44)</f>
        <v>123</v>
      </c>
      <c r="J44" s="13">
        <f>I44/300*100</f>
        <v>41</v>
      </c>
      <c r="K44" s="4" t="s">
        <f>IF(MIN(C44:H44)&gt;17,"Pass","Fail")</f>
        <v>8</v>
      </c>
    </row>
    <row r="45" spans="1:11" customHeight="1" ht="21.95">
      <c r="A45" s="11">
        <v>3243</v>
      </c>
      <c r="B45" s="12" t="inlineStr">
        <is>
          <t>Utsab Limbu</t>
        </is>
      </c>
      <c r="C45" s="9">
        <v>10</v>
      </c>
      <c r="D45" s="9">
        <v>8</v>
      </c>
      <c r="E45" s="9">
        <v>2</v>
      </c>
      <c r="F45" s="9">
        <v>5</v>
      </c>
      <c r="G45" s="9">
        <v>7</v>
      </c>
      <c r="H45" s="9">
        <v>18</v>
      </c>
      <c r="I45" s="9">
        <f>SUM(C45:H45)</f>
        <v>50</v>
      </c>
      <c r="J45" s="13">
        <f>I45/300*100</f>
        <v>16.666666666666664</v>
      </c>
      <c r="K45" s="4" t="s">
        <f>IF(MIN(C45:H45)&gt;17,"Pass","Fail")</f>
        <v>8</v>
      </c>
    </row>
    <row r="46" spans="1:11" customHeight="1" ht="21.95">
      <c r="A46" s="11">
        <v>3244</v>
      </c>
      <c r="B46" s="12" t="inlineStr">
        <is>
          <t>Yousna Tamang</t>
        </is>
      </c>
      <c r="C46" s="9">
        <v>19</v>
      </c>
      <c r="D46" s="9">
        <v>24</v>
      </c>
      <c r="E46" s="9">
        <v>19</v>
      </c>
      <c r="F46" s="9">
        <v>13</v>
      </c>
      <c r="G46" s="9">
        <v>14</v>
      </c>
      <c r="H46" s="9">
        <v>21</v>
      </c>
      <c r="I46" s="9">
        <f>SUM(C46:H46)</f>
        <v>110</v>
      </c>
      <c r="J46" s="13">
        <f>I46/300*100</f>
        <v>36.666666666666664</v>
      </c>
      <c r="K46" s="4" t="s">
        <f>IF(MIN(C46:H46)&gt;17,"Pass","Fail")</f>
        <v>8</v>
      </c>
    </row>
    <row r="47" spans="1:11" customHeight="1" ht="21.95">
      <c r="A47" s="11">
        <v>3245</v>
      </c>
      <c r="B47" s="12" t="inlineStr">
        <is>
          <t>Yushuf Tamang Bal</t>
        </is>
      </c>
      <c r="C47" s="9">
        <v>8</v>
      </c>
      <c r="D47" s="9">
        <v>21</v>
      </c>
      <c r="E47" s="9">
        <v>18</v>
      </c>
      <c r="F47" s="9">
        <v>7</v>
      </c>
      <c r="G47" s="9">
        <v>13</v>
      </c>
      <c r="H47" s="9">
        <v>24</v>
      </c>
      <c r="I47" s="9">
        <f>SUM(C47:H47)</f>
        <v>91</v>
      </c>
      <c r="J47" s="13">
        <f>I47/300*100</f>
        <v>30.333333333333336</v>
      </c>
      <c r="K47" s="4" t="s">
        <f>IF(MIN(C47:H47)&gt;17,"Pass","Fail")</f>
        <v>8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orientation="portrait" pageOrder="downThenOver" paperSize="9" scale="100" useFirstPageNumber="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K51"/>
  <sheetViews>
    <sheetView topLeftCell="A37" workbookViewId="0">
      <selection activeCell="J17" sqref="J17"/>
    </sheetView>
  </sheetViews>
  <sheetFormatPr defaultColWidth="67.5" defaultRowHeight="15"/>
  <cols>
    <col min="1" max="1" style="1" width="5.5703125" bestFit="1" customWidth="1"/>
    <col min="2" max="2" style="1" width="20.85546875" bestFit="1" customWidth="1"/>
    <col min="3" max="3" style="1" width="7.140625" bestFit="1" customWidth="1"/>
    <col min="4" max="5" style="1" width="6.140625" bestFit="1" customWidth="1"/>
    <col min="6" max="7" style="1" width="4.28515625" bestFit="1" customWidth="1"/>
    <col min="8" max="8" style="1" width="5.85546875" bestFit="1" customWidth="1"/>
    <col min="9" max="9" style="1" width="5" bestFit="1" customWidth="1"/>
    <col min="10" max="10" style="1" width="6.7109375" customWidth="1"/>
    <col min="11" max="16384" style="1" width="12.856370192307693"/>
  </cols>
  <sheetData>
    <row r="1" spans="1:11" customHeight="1" ht="21.95">
      <c r="A1" s="2"/>
      <c r="B1" s="3" t="inlineStr">
        <is>
          <t>NIC ASIA-XI</t>
        </is>
      </c>
      <c r="C1" s="2"/>
      <c r="D1" s="2"/>
      <c r="E1" s="2"/>
      <c r="F1" s="2"/>
      <c r="G1" s="2"/>
      <c r="H1" s="2"/>
      <c r="I1" s="2"/>
      <c r="J1" s="2"/>
      <c r="K1" s="4"/>
    </row>
    <row r="2" spans="1:11" customHeight="1" ht="21.95">
      <c r="A2" s="5" t="s">
        <v>0</v>
      </c>
      <c r="B2" s="5" t="s">
        <v>1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21</v>
      </c>
      <c r="I2" s="6" t="s">
        <v>3</v>
      </c>
      <c r="J2" s="6" t="s">
        <v>4</v>
      </c>
      <c r="K2" s="4" t="s">
        <v>5</v>
      </c>
    </row>
    <row r="3" spans="1:11" customHeight="1" ht="21.95">
      <c r="A3" s="14">
        <v>3301</v>
      </c>
      <c r="B3" s="8" t="inlineStr">
        <is>
          <t>Aakriti Shrestha</t>
        </is>
      </c>
      <c r="C3" s="9">
        <v>36</v>
      </c>
      <c r="D3" s="9">
        <v>39</v>
      </c>
      <c r="E3" s="9">
        <v>30</v>
      </c>
      <c r="F3" s="9">
        <v>34</v>
      </c>
      <c r="G3" s="9">
        <v>25</v>
      </c>
      <c r="H3" s="9">
        <v>30</v>
      </c>
      <c r="I3" s="9">
        <f>SUM(C3:H3)</f>
        <v>194</v>
      </c>
      <c r="J3" s="13">
        <f>I3/300*100</f>
        <v>64.666666666666657</v>
      </c>
      <c r="K3" s="4" t="s">
        <f>IF(MIN(C3:H3)&gt;17,"Pass","Fail")</f>
        <v>7</v>
      </c>
    </row>
    <row r="4" spans="1:11" customHeight="1" ht="21.95">
      <c r="A4" s="14">
        <v>3302</v>
      </c>
      <c r="B4" s="8" t="inlineStr">
        <is>
          <t>Aanand Bishwakarma</t>
        </is>
      </c>
      <c r="C4" s="9">
        <v>26</v>
      </c>
      <c r="D4" s="9">
        <v>28</v>
      </c>
      <c r="E4" s="9">
        <v>29</v>
      </c>
      <c r="F4" s="9">
        <v>19</v>
      </c>
      <c r="G4" s="9">
        <v>22</v>
      </c>
      <c r="H4" s="9">
        <v>23</v>
      </c>
      <c r="I4" s="9">
        <f>SUM(C4:H4)</f>
        <v>147</v>
      </c>
      <c r="J4" s="13">
        <f>I4/300*100</f>
        <v>49</v>
      </c>
      <c r="K4" s="4" t="s">
        <f>IF(MIN(C4:H4)&gt;17,"Pass","Fail")</f>
        <v>7</v>
      </c>
    </row>
    <row r="5" spans="1:11" customHeight="1" ht="21.95">
      <c r="A5" s="14">
        <v>3303</v>
      </c>
      <c r="B5" s="8" t="inlineStr">
        <is>
          <t>Aayush Wagle</t>
        </is>
      </c>
      <c r="C5" s="9">
        <v>13</v>
      </c>
      <c r="D5" s="9">
        <v>14</v>
      </c>
      <c r="E5" s="9">
        <v>11</v>
      </c>
      <c r="F5" s="9">
        <v>6</v>
      </c>
      <c r="G5" s="9">
        <v>18</v>
      </c>
      <c r="H5" s="9">
        <v>18</v>
      </c>
      <c r="I5" s="9">
        <f>SUM(C5:H5)</f>
        <v>80</v>
      </c>
      <c r="J5" s="13">
        <f>I5/300*100</f>
        <v>26.666666666666668</v>
      </c>
      <c r="K5" s="4" t="s">
        <f>IF(MIN(C5:H5)&gt;17,"Pass","Fail")</f>
        <v>8</v>
      </c>
    </row>
    <row r="6" spans="1:11" customHeight="1" ht="21.95">
      <c r="A6" s="14">
        <v>3304</v>
      </c>
      <c r="B6" s="8" t="inlineStr">
        <is>
          <t>Aayusha Limbu</t>
        </is>
      </c>
      <c r="C6" s="9">
        <v>20</v>
      </c>
      <c r="D6" s="9">
        <v>21</v>
      </c>
      <c r="E6" s="9">
        <v>21</v>
      </c>
      <c r="F6" s="9">
        <v>18</v>
      </c>
      <c r="G6" s="9">
        <v>20</v>
      </c>
      <c r="H6" s="9">
        <v>33</v>
      </c>
      <c r="I6" s="9">
        <f>SUM(C6:H6)</f>
        <v>133</v>
      </c>
      <c r="J6" s="13">
        <f>I6/300*100</f>
        <v>44.333333333333336</v>
      </c>
      <c r="K6" s="4" t="s">
        <f>IF(MIN(C6:H6)&gt;17,"Pass","Fail")</f>
        <v>7</v>
      </c>
    </row>
    <row r="7" spans="1:11" customHeight="1" ht="21.95">
      <c r="A7" s="14">
        <v>3305</v>
      </c>
      <c r="B7" s="8" t="inlineStr">
        <is>
          <t>Abinash Chaudhary</t>
        </is>
      </c>
      <c r="C7" s="9">
        <v>28</v>
      </c>
      <c r="D7" s="9">
        <v>27</v>
      </c>
      <c r="E7" s="9">
        <v>40</v>
      </c>
      <c r="F7" s="9">
        <v>35</v>
      </c>
      <c r="G7" s="9">
        <v>31</v>
      </c>
      <c r="H7" s="9">
        <v>41</v>
      </c>
      <c r="I7" s="9">
        <f>SUM(C7:H7)</f>
        <v>202</v>
      </c>
      <c r="J7" s="13">
        <f>I7/300*100</f>
        <v>67.333333333333329</v>
      </c>
      <c r="K7" s="4" t="s">
        <f>IF(MIN(C7:H7)&gt;17,"Pass","Fail")</f>
        <v>7</v>
      </c>
    </row>
    <row r="8" spans="1:11" customHeight="1" ht="21.95">
      <c r="A8" s="14">
        <v>3306</v>
      </c>
      <c r="B8" s="12" t="inlineStr">
        <is>
          <t>Aditya Kumar Chaudhary</t>
        </is>
      </c>
      <c r="C8" s="9">
        <v>21</v>
      </c>
      <c r="D8" s="9">
        <v>29</v>
      </c>
      <c r="E8" s="9">
        <v>14</v>
      </c>
      <c r="F8" s="9">
        <v>33</v>
      </c>
      <c r="G8" s="9">
        <v>22</v>
      </c>
      <c r="H8" s="9">
        <v>23</v>
      </c>
      <c r="I8" s="9">
        <f>SUM(C8:H8)</f>
        <v>142</v>
      </c>
      <c r="J8" s="13">
        <f>I8/300*100</f>
        <v>47.333333333333336</v>
      </c>
      <c r="K8" s="4" t="s">
        <f>IF(MIN(C8:H8)&gt;17,"Pass","Fail")</f>
        <v>8</v>
      </c>
    </row>
    <row r="9" spans="1:11" customHeight="1" ht="21.95">
      <c r="A9" s="14">
        <v>3307</v>
      </c>
      <c r="B9" s="8" t="s">
        <v>16</v>
      </c>
      <c r="C9" s="2"/>
      <c r="D9" s="2" t="s">
        <v>9</v>
      </c>
      <c r="E9" s="2" t="s">
        <v>10</v>
      </c>
      <c r="F9" s="2" t="s">
        <v>10</v>
      </c>
      <c r="G9" s="2" t="s">
        <v>10</v>
      </c>
      <c r="H9" s="2"/>
      <c r="I9" s="9">
        <f>SUM(C9:H9)</f>
        <v>0</v>
      </c>
      <c r="J9" s="13">
        <f>I9/300*100</f>
        <v>0</v>
      </c>
      <c r="K9" s="4" t="s">
        <f>IF(MIN(C9:H9)&gt;17,"Pass","Fail")</f>
        <v>8</v>
      </c>
    </row>
    <row r="10" spans="1:11" customHeight="1" ht="21.95">
      <c r="A10" s="14">
        <v>3308</v>
      </c>
      <c r="B10" s="8" t="inlineStr">
        <is>
          <t>Alson Karki</t>
        </is>
      </c>
      <c r="C10" s="9">
        <v>30</v>
      </c>
      <c r="D10" s="9">
        <v>28</v>
      </c>
      <c r="E10" s="9">
        <v>23</v>
      </c>
      <c r="F10" s="9">
        <v>24</v>
      </c>
      <c r="G10" s="9">
        <v>19</v>
      </c>
      <c r="H10" s="9">
        <v>32</v>
      </c>
      <c r="I10" s="9">
        <f>SUM(C10:H10)</f>
        <v>156</v>
      </c>
      <c r="J10" s="13">
        <f>I10/300*100</f>
        <v>52</v>
      </c>
      <c r="K10" s="4" t="s">
        <f>IF(MIN(C10:H10)&gt;17,"Pass","Fail")</f>
        <v>7</v>
      </c>
    </row>
    <row r="11" spans="1:11" customHeight="1" ht="21.95">
      <c r="A11" s="14">
        <v>3309</v>
      </c>
      <c r="B11" s="8" t="inlineStr">
        <is>
          <t>Anamika Chaudhary</t>
        </is>
      </c>
      <c r="C11" s="9">
        <v>36</v>
      </c>
      <c r="D11" s="9">
        <v>33</v>
      </c>
      <c r="E11" s="9">
        <v>26</v>
      </c>
      <c r="F11" s="9">
        <v>31</v>
      </c>
      <c r="G11" s="9">
        <v>19</v>
      </c>
      <c r="H11" s="9">
        <v>33</v>
      </c>
      <c r="I11" s="9">
        <f>SUM(C11:H11)</f>
        <v>178</v>
      </c>
      <c r="J11" s="13">
        <f>I11/300*100</f>
        <v>59.333333333333336</v>
      </c>
      <c r="K11" s="4" t="s">
        <f>IF(MIN(C11:H11)&gt;17,"Pass","Fail")</f>
        <v>7</v>
      </c>
    </row>
    <row r="12" spans="1:11" customHeight="1" ht="21.95">
      <c r="A12" s="14">
        <v>3310</v>
      </c>
      <c r="B12" s="8" t="inlineStr">
        <is>
          <t>Anish Karki</t>
        </is>
      </c>
      <c r="C12" s="9">
        <v>20</v>
      </c>
      <c r="D12" s="9">
        <v>21</v>
      </c>
      <c r="E12" s="9">
        <v>18</v>
      </c>
      <c r="F12" s="9">
        <v>11</v>
      </c>
      <c r="G12" s="9">
        <v>12</v>
      </c>
      <c r="H12" s="9">
        <v>27</v>
      </c>
      <c r="I12" s="9">
        <f>SUM(C12:H12)</f>
        <v>109</v>
      </c>
      <c r="J12" s="13">
        <f>I12/300*100</f>
        <v>36.333333333333336</v>
      </c>
      <c r="K12" s="4" t="s">
        <f>IF(MIN(C12:H12)&gt;17,"Pass","Fail")</f>
        <v>8</v>
      </c>
    </row>
    <row r="13" spans="1:11" customHeight="1" ht="21.95">
      <c r="A13" s="14">
        <v>3311</v>
      </c>
      <c r="B13" s="8" t="inlineStr">
        <is>
          <t>Anish Lingthep</t>
        </is>
      </c>
      <c r="C13" s="9">
        <v>18</v>
      </c>
      <c r="D13" s="9">
        <v>14</v>
      </c>
      <c r="E13" s="9">
        <v>8</v>
      </c>
      <c r="F13" s="9">
        <v>9</v>
      </c>
      <c r="G13" s="9">
        <v>14</v>
      </c>
      <c r="H13" s="9">
        <v>14</v>
      </c>
      <c r="I13" s="9">
        <f>SUM(C13:H13)</f>
        <v>77</v>
      </c>
      <c r="J13" s="13">
        <f>I13/300*100</f>
        <v>25.666666666666664</v>
      </c>
      <c r="K13" s="4" t="s">
        <f>IF(MIN(C13:H13)&gt;17,"Pass","Fail")</f>
        <v>8</v>
      </c>
    </row>
    <row r="14" spans="1:11" customHeight="1" ht="21.95">
      <c r="A14" s="14">
        <v>3312</v>
      </c>
      <c r="B14" s="8" t="inlineStr">
        <is>
          <t>Anshu Chaudhary</t>
        </is>
      </c>
      <c r="C14" s="9">
        <v>24</v>
      </c>
      <c r="D14" s="9">
        <v>32</v>
      </c>
      <c r="E14" s="9">
        <v>18</v>
      </c>
      <c r="F14" s="9">
        <v>39</v>
      </c>
      <c r="G14" s="9">
        <v>23</v>
      </c>
      <c r="H14" s="9">
        <v>24</v>
      </c>
      <c r="I14" s="9">
        <f>SUM(C14:H14)</f>
        <v>160</v>
      </c>
      <c r="J14" s="13">
        <f>I14/300*100</f>
        <v>53.333333333333336</v>
      </c>
      <c r="K14" s="4" t="s">
        <f>IF(MIN(C14:H14)&gt;17,"Pass","Fail")</f>
        <v>7</v>
      </c>
    </row>
    <row r="15" spans="1:11" customHeight="1" ht="21.95">
      <c r="A15" s="14">
        <v>3313</v>
      </c>
      <c r="B15" s="8" t="inlineStr">
        <is>
          <t>Barsha Limbu</t>
        </is>
      </c>
      <c r="C15" s="9">
        <v>33</v>
      </c>
      <c r="D15" s="9">
        <v>37</v>
      </c>
      <c r="E15" s="9">
        <v>29</v>
      </c>
      <c r="F15" s="9">
        <v>7</v>
      </c>
      <c r="G15" s="9">
        <v>12</v>
      </c>
      <c r="H15" s="9">
        <v>22</v>
      </c>
      <c r="I15" s="9">
        <f>SUM(C15:H15)</f>
        <v>140</v>
      </c>
      <c r="J15" s="13">
        <f>I15/300*100</f>
        <v>46.666666666666664</v>
      </c>
      <c r="K15" s="4" t="s">
        <f>IF(MIN(C15:H15)&gt;17,"Pass","Fail")</f>
        <v>8</v>
      </c>
    </row>
    <row r="16" spans="1:11" customHeight="1" ht="21.95">
      <c r="A16" s="14">
        <v>3314</v>
      </c>
      <c r="B16" s="8" t="inlineStr">
        <is>
          <t>Denish Karki</t>
        </is>
      </c>
      <c r="C16" s="9">
        <v>18</v>
      </c>
      <c r="D16" s="9">
        <v>20</v>
      </c>
      <c r="E16" s="9">
        <v>18</v>
      </c>
      <c r="F16" s="9">
        <v>18</v>
      </c>
      <c r="G16" s="9">
        <v>18</v>
      </c>
      <c r="H16" s="9">
        <v>20</v>
      </c>
      <c r="I16" s="9">
        <f>SUM(C16:H16)</f>
        <v>112</v>
      </c>
      <c r="J16" s="13">
        <f>I16/300*100</f>
        <v>37.333333333333336</v>
      </c>
      <c r="K16" s="4" t="s">
        <f>IF(MIN(C16:H16)&gt;17,"Pass","Fail")</f>
        <v>7</v>
      </c>
    </row>
    <row r="17" spans="1:11" customHeight="1" ht="21.95">
      <c r="A17" s="14">
        <v>3315</v>
      </c>
      <c r="B17" s="8" t="inlineStr">
        <is>
          <t>Dipjan Shrestha</t>
        </is>
      </c>
      <c r="C17" s="9">
        <v>26</v>
      </c>
      <c r="D17" s="9">
        <v>30</v>
      </c>
      <c r="E17" s="9">
        <v>26</v>
      </c>
      <c r="F17" s="9">
        <v>27</v>
      </c>
      <c r="G17" s="9">
        <v>22</v>
      </c>
      <c r="H17" s="9">
        <v>34</v>
      </c>
      <c r="I17" s="9">
        <f>SUM(C17:H17)</f>
        <v>165</v>
      </c>
      <c r="J17" s="13">
        <f>I17/300*100</f>
        <v>55.000000000000007</v>
      </c>
      <c r="K17" s="4" t="s">
        <f>IF(MIN(C17:H17)&gt;17,"Pass","Fail")</f>
        <v>7</v>
      </c>
    </row>
    <row r="18" spans="1:11" customHeight="1" ht="21.95">
      <c r="A18" s="14">
        <v>3316</v>
      </c>
      <c r="B18" s="8" t="inlineStr">
        <is>
          <t>Emkala Kattel</t>
        </is>
      </c>
      <c r="C18" s="9">
        <v>27</v>
      </c>
      <c r="D18" s="9">
        <v>32</v>
      </c>
      <c r="E18" s="9">
        <v>34</v>
      </c>
      <c r="F18" s="9">
        <v>12</v>
      </c>
      <c r="G18" s="9">
        <v>18</v>
      </c>
      <c r="H18" s="9">
        <v>24</v>
      </c>
      <c r="I18" s="9">
        <f>SUM(C18:H18)</f>
        <v>147</v>
      </c>
      <c r="J18" s="13">
        <f>I18/300*100</f>
        <v>49</v>
      </c>
      <c r="K18" s="4" t="s">
        <f>IF(MIN(C18:H18)&gt;17,"Pass","Fail")</f>
        <v>8</v>
      </c>
    </row>
    <row r="19" spans="1:11" customHeight="1" ht="21.95">
      <c r="A19" s="14">
        <v>3317</v>
      </c>
      <c r="B19" s="8" t="inlineStr">
        <is>
          <t>Indrawati Shrestha</t>
        </is>
      </c>
      <c r="C19" s="9">
        <v>22</v>
      </c>
      <c r="D19" s="9">
        <v>27</v>
      </c>
      <c r="E19" s="9">
        <v>30</v>
      </c>
      <c r="F19" s="9">
        <v>7</v>
      </c>
      <c r="G19" s="9">
        <v>20</v>
      </c>
      <c r="H19" s="9">
        <v>28</v>
      </c>
      <c r="I19" s="9">
        <f>SUM(C19:H19)</f>
        <v>134</v>
      </c>
      <c r="J19" s="13">
        <f>I19/300*100</f>
        <v>44.666666666666664</v>
      </c>
      <c r="K19" s="4" t="s">
        <f>IF(MIN(C19:H19)&gt;17,"Pass","Fail")</f>
        <v>8</v>
      </c>
    </row>
    <row r="20" spans="1:11" customHeight="1" ht="21.95">
      <c r="A20" s="14">
        <v>3318</v>
      </c>
      <c r="B20" s="8" t="inlineStr">
        <is>
          <t>Janki Thapa</t>
        </is>
      </c>
      <c r="C20" s="9">
        <v>21</v>
      </c>
      <c r="D20" s="9">
        <v>35</v>
      </c>
      <c r="E20" s="9">
        <v>27</v>
      </c>
      <c r="F20" s="9">
        <v>6</v>
      </c>
      <c r="G20" s="9">
        <v>18</v>
      </c>
      <c r="H20" s="9">
        <v>25</v>
      </c>
      <c r="I20" s="9">
        <f>SUM(C20:H20)</f>
        <v>132</v>
      </c>
      <c r="J20" s="13">
        <f>I20/300*100</f>
        <v>44</v>
      </c>
      <c r="K20" s="4" t="s">
        <f>IF(MIN(C20:H20)&gt;17,"Pass","Fail")</f>
        <v>8</v>
      </c>
    </row>
    <row r="21" spans="1:11" customHeight="1" ht="21.95">
      <c r="A21" s="14">
        <v>3319</v>
      </c>
      <c r="B21" s="8" t="inlineStr">
        <is>
          <t>Jelisha Karki</t>
        </is>
      </c>
      <c r="C21" s="9">
        <v>31</v>
      </c>
      <c r="D21" s="9">
        <v>33</v>
      </c>
      <c r="E21" s="9">
        <v>32</v>
      </c>
      <c r="F21" s="9">
        <v>20</v>
      </c>
      <c r="G21" s="9">
        <v>23</v>
      </c>
      <c r="H21" s="9">
        <v>31</v>
      </c>
      <c r="I21" s="9">
        <f>SUM(C21:H21)</f>
        <v>170</v>
      </c>
      <c r="J21" s="13">
        <f>I21/300*100</f>
        <v>56.666666666666664</v>
      </c>
      <c r="K21" s="4" t="s">
        <f>IF(MIN(C21:H21)&gt;17,"Pass","Fail")</f>
        <v>7</v>
      </c>
    </row>
    <row r="22" spans="1:11" customHeight="1" ht="21.95">
      <c r="A22" s="14">
        <v>3320</v>
      </c>
      <c r="B22" s="8" t="inlineStr">
        <is>
          <t>Junu Phuyal</t>
        </is>
      </c>
      <c r="C22" s="9">
        <v>21</v>
      </c>
      <c r="D22" s="9">
        <v>31</v>
      </c>
      <c r="E22" s="9">
        <v>2</v>
      </c>
      <c r="F22" s="9">
        <v>23</v>
      </c>
      <c r="G22" s="9">
        <v>19</v>
      </c>
      <c r="H22" s="9">
        <v>28</v>
      </c>
      <c r="I22" s="9">
        <f>SUM(C22:H22)</f>
        <v>124</v>
      </c>
      <c r="J22" s="13">
        <f>I22/300*100</f>
        <v>41.333333333333336</v>
      </c>
      <c r="K22" s="4" t="s">
        <f>IF(MIN(C22:H22)&gt;17,"Pass","Fail")</f>
        <v>8</v>
      </c>
    </row>
    <row r="23" spans="1:11" customHeight="1" ht="21.95">
      <c r="A23" s="14">
        <v>3321</v>
      </c>
      <c r="B23" s="8" t="inlineStr">
        <is>
          <t>Jyoti Pandit</t>
        </is>
      </c>
      <c r="C23" s="9">
        <v>30</v>
      </c>
      <c r="D23" s="9">
        <v>35</v>
      </c>
      <c r="E23" s="9">
        <v>32</v>
      </c>
      <c r="F23" s="9">
        <v>27</v>
      </c>
      <c r="G23" s="9">
        <v>20</v>
      </c>
      <c r="H23" s="9">
        <v>33</v>
      </c>
      <c r="I23" s="9">
        <f>SUM(C23:H23)</f>
        <v>177</v>
      </c>
      <c r="J23" s="13">
        <f>I23/300*100</f>
        <v>59</v>
      </c>
      <c r="K23" s="4" t="s">
        <f>IF(MIN(C23:H23)&gt;17,"Pass","Fail")</f>
        <v>7</v>
      </c>
    </row>
    <row r="24" spans="1:11" customHeight="1" ht="21.95">
      <c r="A24" s="14">
        <v>3322</v>
      </c>
      <c r="B24" s="8" t="inlineStr">
        <is>
          <t>Karishma Khatri</t>
        </is>
      </c>
      <c r="C24" s="2" t="s">
        <v>10</v>
      </c>
      <c r="D24" s="2" t="s">
        <v>9</v>
      </c>
      <c r="E24" s="2" t="s">
        <v>10</v>
      </c>
      <c r="F24" s="2" t="s">
        <v>10</v>
      </c>
      <c r="G24" s="2" t="s">
        <v>10</v>
      </c>
      <c r="H24" s="2"/>
      <c r="I24" s="9">
        <f>SUM(C24:H24)</f>
        <v>0</v>
      </c>
      <c r="J24" s="13">
        <f>I24/300*100</f>
        <v>0</v>
      </c>
      <c r="K24" s="4" t="s">
        <f>IF(MIN(C24:H24)&gt;17,"Pass","Fail")</f>
        <v>8</v>
      </c>
    </row>
    <row r="25" spans="1:11" customHeight="1" ht="21.95">
      <c r="A25" s="14">
        <v>3323</v>
      </c>
      <c r="B25" s="8" t="inlineStr">
        <is>
          <t>Kelsang Tamang</t>
        </is>
      </c>
      <c r="C25" s="9">
        <v>28</v>
      </c>
      <c r="D25" s="9">
        <v>24</v>
      </c>
      <c r="E25" s="9">
        <v>4</v>
      </c>
      <c r="F25" s="9">
        <v>27</v>
      </c>
      <c r="G25" s="9">
        <v>22</v>
      </c>
      <c r="H25" s="2"/>
      <c r="I25" s="9">
        <f>SUM(C25:H25)</f>
        <v>105</v>
      </c>
      <c r="J25" s="13">
        <f>I25/300*100</f>
        <v>35</v>
      </c>
      <c r="K25" s="4" t="s">
        <f>IF(MIN(C25:H25)&gt;17,"Pass","Fail")</f>
        <v>8</v>
      </c>
    </row>
    <row r="26" spans="1:11" customHeight="1" ht="21.95">
      <c r="A26" s="14">
        <v>3324</v>
      </c>
      <c r="B26" s="8" t="inlineStr">
        <is>
          <t>Kunjan Dhungana</t>
        </is>
      </c>
      <c r="C26" s="9">
        <v>33</v>
      </c>
      <c r="D26" s="9">
        <v>33</v>
      </c>
      <c r="E26" s="9">
        <v>33</v>
      </c>
      <c r="F26" s="9">
        <v>31</v>
      </c>
      <c r="G26" s="9">
        <v>24</v>
      </c>
      <c r="H26" s="9">
        <v>30</v>
      </c>
      <c r="I26" s="9">
        <f>SUM(C26:H26)</f>
        <v>184</v>
      </c>
      <c r="J26" s="13">
        <f>I26/300*100</f>
        <v>61.333333333333329</v>
      </c>
      <c r="K26" s="4" t="s">
        <f>IF(MIN(C26:H26)&gt;17,"Pass","Fail")</f>
        <v>7</v>
      </c>
    </row>
    <row r="27" spans="1:11" customHeight="1" ht="21.95">
      <c r="A27" s="14">
        <v>3325</v>
      </c>
      <c r="B27" s="8" t="inlineStr">
        <is>
          <t>Lilanath Acharya</t>
        </is>
      </c>
      <c r="C27" s="9">
        <v>2</v>
      </c>
      <c r="D27" s="9">
        <v>14</v>
      </c>
      <c r="E27" s="9">
        <v>9</v>
      </c>
      <c r="F27" s="9">
        <v>5</v>
      </c>
      <c r="G27" s="9">
        <v>7</v>
      </c>
      <c r="H27" s="9">
        <v>18</v>
      </c>
      <c r="I27" s="9">
        <f>SUM(C27:H27)</f>
        <v>55</v>
      </c>
      <c r="J27" s="13">
        <f>I27/300*100</f>
        <v>18.333333333333332</v>
      </c>
      <c r="K27" s="4" t="s">
        <f>IF(MIN(C27:H27)&gt;17,"Pass","Fail")</f>
        <v>8</v>
      </c>
    </row>
    <row r="28" spans="1:11" customHeight="1" ht="21.95">
      <c r="A28" s="14">
        <v>3326</v>
      </c>
      <c r="B28" s="8" t="inlineStr">
        <is>
          <t>Mission Ghimire</t>
        </is>
      </c>
      <c r="C28" s="9">
        <v>10</v>
      </c>
      <c r="D28" s="9">
        <v>16</v>
      </c>
      <c r="E28" s="9">
        <v>11</v>
      </c>
      <c r="F28" s="9">
        <v>7</v>
      </c>
      <c r="G28" s="9">
        <v>9</v>
      </c>
      <c r="H28" s="9">
        <v>17</v>
      </c>
      <c r="I28" s="9">
        <f>SUM(C28:H28)</f>
        <v>70</v>
      </c>
      <c r="J28" s="13">
        <f>I28/300*100</f>
        <v>23.333333333333332</v>
      </c>
      <c r="K28" s="4" t="s">
        <f>IF(MIN(C28:H28)&gt;17,"Pass","Fail")</f>
        <v>8</v>
      </c>
    </row>
    <row r="29" spans="1:11" customHeight="1" ht="21.95">
      <c r="A29" s="14">
        <v>3327</v>
      </c>
      <c r="B29" s="8" t="inlineStr">
        <is>
          <t>Mission Limbu</t>
        </is>
      </c>
      <c r="C29" s="9">
        <v>13</v>
      </c>
      <c r="D29" s="9">
        <v>28</v>
      </c>
      <c r="E29" s="9">
        <v>11</v>
      </c>
      <c r="F29" s="9">
        <v>14</v>
      </c>
      <c r="G29" s="9">
        <v>13</v>
      </c>
      <c r="H29" s="9">
        <v>22</v>
      </c>
      <c r="I29" s="9">
        <f>SUM(C29:H29)</f>
        <v>101</v>
      </c>
      <c r="J29" s="13">
        <f>I29/300*100</f>
        <v>33.666666666666664</v>
      </c>
      <c r="K29" s="4" t="s">
        <f>IF(MIN(C29:H29)&gt;17,"Pass","Fail")</f>
        <v>8</v>
      </c>
    </row>
    <row r="30" spans="1:11" customHeight="1" ht="21.95">
      <c r="A30" s="14">
        <v>3328</v>
      </c>
      <c r="B30" s="8" t="s">
        <v>22</v>
      </c>
      <c r="C30" s="9">
        <v>18</v>
      </c>
      <c r="D30" s="9">
        <v>19</v>
      </c>
      <c r="E30" s="9">
        <v>12</v>
      </c>
      <c r="F30" s="9">
        <v>9</v>
      </c>
      <c r="G30" s="9">
        <v>19</v>
      </c>
      <c r="H30" s="9">
        <v>20</v>
      </c>
      <c r="I30" s="9">
        <f>SUM(C30:H30)</f>
        <v>97</v>
      </c>
      <c r="J30" s="13">
        <f>I30/300*100</f>
        <v>32.333333333333329</v>
      </c>
      <c r="K30" s="4" t="s">
        <f>IF(MIN(C30:H30)&gt;17,"Pass","Fail")</f>
        <v>8</v>
      </c>
    </row>
    <row r="31" spans="1:11" customHeight="1" ht="21.95">
      <c r="A31" s="14">
        <v>3329</v>
      </c>
      <c r="B31" s="8" t="s">
        <v>22</v>
      </c>
      <c r="C31" s="9">
        <v>25</v>
      </c>
      <c r="D31" s="9">
        <v>20</v>
      </c>
      <c r="E31" s="9">
        <v>12</v>
      </c>
      <c r="F31" s="9">
        <v>22</v>
      </c>
      <c r="G31" s="9">
        <v>20</v>
      </c>
      <c r="H31" s="9">
        <v>24</v>
      </c>
      <c r="I31" s="9">
        <f>SUM(C31:H31)</f>
        <v>123</v>
      </c>
      <c r="J31" s="13">
        <f>I31/300*100</f>
        <v>41</v>
      </c>
      <c r="K31" s="4" t="s">
        <f>IF(MIN(C31:H31)&gt;17,"Pass","Fail")</f>
        <v>8</v>
      </c>
    </row>
    <row r="32" spans="1:11" customHeight="1" ht="21.95">
      <c r="A32" s="14">
        <v>3330</v>
      </c>
      <c r="B32" s="8" t="inlineStr">
        <is>
          <t>Nipendra Subedi</t>
        </is>
      </c>
      <c r="C32" s="9">
        <v>20</v>
      </c>
      <c r="D32" s="9">
        <v>9</v>
      </c>
      <c r="E32" s="9">
        <v>10</v>
      </c>
      <c r="F32" s="9">
        <v>7</v>
      </c>
      <c r="G32" s="9">
        <v>18</v>
      </c>
      <c r="H32" s="9">
        <v>16</v>
      </c>
      <c r="I32" s="9">
        <f>SUM(C32:H32)</f>
        <v>80</v>
      </c>
      <c r="J32" s="13">
        <f>I32/300*100</f>
        <v>26.666666666666668</v>
      </c>
      <c r="K32" s="4" t="s">
        <f>IF(MIN(C32:H32)&gt;17,"Pass","Fail")</f>
        <v>8</v>
      </c>
    </row>
    <row r="33" spans="1:11" customHeight="1" ht="21.95">
      <c r="A33" s="14">
        <v>3331</v>
      </c>
      <c r="B33" s="8" t="inlineStr">
        <is>
          <t>Nirjal Ghale</t>
        </is>
      </c>
      <c r="C33" s="9">
        <v>23</v>
      </c>
      <c r="D33" s="9">
        <v>24</v>
      </c>
      <c r="E33" s="9">
        <v>23</v>
      </c>
      <c r="F33" s="9">
        <v>10</v>
      </c>
      <c r="G33" s="9">
        <v>13</v>
      </c>
      <c r="H33" s="9">
        <v>17</v>
      </c>
      <c r="I33" s="9">
        <f>SUM(C33:H33)</f>
        <v>110</v>
      </c>
      <c r="J33" s="13">
        <f>I33/300*100</f>
        <v>36.666666666666664</v>
      </c>
      <c r="K33" s="4" t="s">
        <f>IF(MIN(C33:H33)&gt;17,"Pass","Fail")</f>
        <v>8</v>
      </c>
    </row>
    <row r="34" spans="1:11" customHeight="1" ht="21.95">
      <c r="A34" s="14">
        <v>3332</v>
      </c>
      <c r="B34" s="8" t="inlineStr">
        <is>
          <t>Nishan Magar</t>
        </is>
      </c>
      <c r="C34" s="9">
        <v>13</v>
      </c>
      <c r="D34" s="9">
        <v>14</v>
      </c>
      <c r="E34" s="9">
        <v>4</v>
      </c>
      <c r="F34" s="9">
        <v>5</v>
      </c>
      <c r="G34" s="9">
        <v>10</v>
      </c>
      <c r="H34" s="9">
        <v>13</v>
      </c>
      <c r="I34" s="9">
        <f>SUM(C34:H34)</f>
        <v>59</v>
      </c>
      <c r="J34" s="13">
        <f>I34/300*100</f>
        <v>19.666666666666664</v>
      </c>
      <c r="K34" s="4" t="s">
        <f>IF(MIN(C34:H34)&gt;17,"Pass","Fail")</f>
        <v>8</v>
      </c>
    </row>
    <row r="35" spans="1:11" customHeight="1" ht="21.95">
      <c r="A35" s="14">
        <v>3333</v>
      </c>
      <c r="B35" s="8" t="inlineStr">
        <is>
          <t>Nishan Sardar</t>
        </is>
      </c>
      <c r="C35" s="9">
        <v>8</v>
      </c>
      <c r="D35" s="9">
        <v>22</v>
      </c>
      <c r="E35" s="9">
        <v>10</v>
      </c>
      <c r="F35" s="9">
        <v>26</v>
      </c>
      <c r="G35" s="9">
        <v>12</v>
      </c>
      <c r="H35" s="9">
        <v>16</v>
      </c>
      <c r="I35" s="9">
        <f>SUM(C35:H35)</f>
        <v>94</v>
      </c>
      <c r="J35" s="13">
        <f>I35/300*100</f>
        <v>31.333333333333336</v>
      </c>
      <c r="K35" s="4" t="s">
        <f>IF(MIN(C35:H35)&gt;17,"Pass","Fail")</f>
        <v>8</v>
      </c>
    </row>
    <row r="36" spans="1:11" customHeight="1" ht="21.95">
      <c r="A36" s="14">
        <v>3334</v>
      </c>
      <c r="B36" s="8" t="inlineStr">
        <is>
          <t>Pradip BK</t>
        </is>
      </c>
      <c r="C36" s="9">
        <v>12</v>
      </c>
      <c r="D36" s="9">
        <v>25</v>
      </c>
      <c r="E36" s="9">
        <v>31</v>
      </c>
      <c r="F36" s="9">
        <v>18</v>
      </c>
      <c r="G36" s="9">
        <v>20</v>
      </c>
      <c r="H36" s="9">
        <v>17</v>
      </c>
      <c r="I36" s="9">
        <f>SUM(C36:H36)</f>
        <v>123</v>
      </c>
      <c r="J36" s="13">
        <f>I36/300*100</f>
        <v>41</v>
      </c>
      <c r="K36" s="4" t="s">
        <f>IF(MIN(C36:H36)&gt;17,"Pass","Fail")</f>
        <v>8</v>
      </c>
    </row>
    <row r="37" spans="1:11" customHeight="1" ht="21.95">
      <c r="A37" s="14">
        <v>3335</v>
      </c>
      <c r="B37" s="8" t="inlineStr">
        <is>
          <t>Pranish BK</t>
        </is>
      </c>
      <c r="C37" s="9">
        <v>27</v>
      </c>
      <c r="D37" s="9">
        <v>18</v>
      </c>
      <c r="E37" s="9">
        <v>34</v>
      </c>
      <c r="F37" s="9">
        <v>12</v>
      </c>
      <c r="G37" s="9">
        <v>18</v>
      </c>
      <c r="H37" s="9">
        <v>18</v>
      </c>
      <c r="I37" s="9">
        <f>SUM(C37:H37)</f>
        <v>127</v>
      </c>
      <c r="J37" s="13">
        <f>I37/300*100</f>
        <v>42.333333333333336</v>
      </c>
      <c r="K37" s="4" t="s">
        <f>IF(MIN(C37:H37)&gt;17,"Pass","Fail")</f>
        <v>8</v>
      </c>
    </row>
    <row r="38" spans="1:11" customHeight="1" ht="21.95">
      <c r="A38" s="14">
        <v>3336</v>
      </c>
      <c r="B38" s="8" t="inlineStr">
        <is>
          <t>Prashant Rai</t>
        </is>
      </c>
      <c r="C38" s="9">
        <v>18</v>
      </c>
      <c r="D38" s="9">
        <v>24</v>
      </c>
      <c r="E38" s="9">
        <v>26</v>
      </c>
      <c r="F38" s="9">
        <v>27</v>
      </c>
      <c r="G38" s="9">
        <v>21</v>
      </c>
      <c r="H38" s="9">
        <v>18</v>
      </c>
      <c r="I38" s="9">
        <f>SUM(C38:H38)</f>
        <v>134</v>
      </c>
      <c r="J38" s="13">
        <f>I38/300*100</f>
        <v>44.666666666666664</v>
      </c>
      <c r="K38" s="4" t="s">
        <f>IF(MIN(C38:H38)&gt;17,"Pass","Fail")</f>
        <v>7</v>
      </c>
    </row>
    <row r="39" spans="1:11" customHeight="1" ht="21.95">
      <c r="A39" s="14">
        <v>3337</v>
      </c>
      <c r="B39" s="8" t="inlineStr">
        <is>
          <t>Prithvi Regmi</t>
        </is>
      </c>
      <c r="C39" s="9">
        <v>18</v>
      </c>
      <c r="D39" s="9">
        <v>7</v>
      </c>
      <c r="E39" s="9">
        <v>3</v>
      </c>
      <c r="F39" s="9">
        <v>5</v>
      </c>
      <c r="G39" s="9">
        <v>10</v>
      </c>
      <c r="H39" s="9">
        <v>18</v>
      </c>
      <c r="I39" s="9">
        <f>SUM(C39:H39)</f>
        <v>61</v>
      </c>
      <c r="J39" s="13">
        <f>I39/300*100</f>
        <v>20.333333333333332</v>
      </c>
      <c r="K39" s="4" t="s">
        <f>IF(MIN(C39:H39)&gt;17,"Pass","Fail")</f>
        <v>8</v>
      </c>
    </row>
    <row r="40" spans="1:11" customHeight="1" ht="21.95">
      <c r="A40" s="14">
        <v>3338</v>
      </c>
      <c r="B40" s="8" t="inlineStr">
        <is>
          <t>Punit Bishwakarma</t>
        </is>
      </c>
      <c r="C40" s="9">
        <v>22</v>
      </c>
      <c r="D40" s="9">
        <v>6</v>
      </c>
      <c r="E40" s="9">
        <v>2</v>
      </c>
      <c r="F40" s="9">
        <v>5</v>
      </c>
      <c r="G40" s="9">
        <v>5</v>
      </c>
      <c r="H40" s="9">
        <v>18</v>
      </c>
      <c r="I40" s="9">
        <f>SUM(C40:H40)</f>
        <v>58</v>
      </c>
      <c r="J40" s="13">
        <f>I40/300*100</f>
        <v>19.333333333333332</v>
      </c>
      <c r="K40" s="4" t="s">
        <f>IF(MIN(C40:H40)&gt;17,"Pass","Fail")</f>
        <v>8</v>
      </c>
    </row>
    <row r="41" spans="1:11" customHeight="1" ht="21.95">
      <c r="A41" s="14">
        <v>3339</v>
      </c>
      <c r="B41" s="8" t="inlineStr">
        <is>
          <t>Ritesh Kattel</t>
        </is>
      </c>
      <c r="C41" s="9">
        <v>18</v>
      </c>
      <c r="D41" s="9">
        <v>18</v>
      </c>
      <c r="E41" s="9">
        <v>35</v>
      </c>
      <c r="F41" s="9">
        <v>18</v>
      </c>
      <c r="G41" s="9">
        <v>20</v>
      </c>
      <c r="H41" s="2"/>
      <c r="I41" s="9">
        <f>SUM(C41:H41)</f>
        <v>109</v>
      </c>
      <c r="J41" s="13">
        <f>I41/300*100</f>
        <v>36.333333333333336</v>
      </c>
      <c r="K41" s="4" t="s">
        <f>IF(MIN(C41:H41)&gt;17,"Pass","Fail")</f>
        <v>7</v>
      </c>
    </row>
    <row r="42" spans="1:11" customHeight="1" ht="21.95">
      <c r="A42" s="14">
        <v>3340</v>
      </c>
      <c r="B42" s="8" t="inlineStr">
        <is>
          <t>Ritika Acharya</t>
        </is>
      </c>
      <c r="C42" s="9">
        <v>22</v>
      </c>
      <c r="D42" s="9">
        <v>26</v>
      </c>
      <c r="E42" s="9">
        <v>28</v>
      </c>
      <c r="F42" s="9">
        <v>13</v>
      </c>
      <c r="G42" s="9">
        <v>23</v>
      </c>
      <c r="H42" s="9">
        <v>22</v>
      </c>
      <c r="I42" s="9">
        <f>SUM(C42:H42)</f>
        <v>134</v>
      </c>
      <c r="J42" s="13">
        <f>I42/300*100</f>
        <v>44.666666666666664</v>
      </c>
      <c r="K42" s="4" t="s">
        <f>IF(MIN(C42:H42)&gt;17,"Pass","Fail")</f>
        <v>8</v>
      </c>
    </row>
    <row r="43" spans="1:11" customHeight="1" ht="21.95">
      <c r="A43" s="14">
        <v>3341</v>
      </c>
      <c r="B43" s="8" t="inlineStr">
        <is>
          <t>Rudraman Katwal</t>
        </is>
      </c>
      <c r="C43" s="9">
        <v>8</v>
      </c>
      <c r="D43" s="9">
        <v>20</v>
      </c>
      <c r="E43" s="9">
        <v>22</v>
      </c>
      <c r="F43" s="9">
        <v>10</v>
      </c>
      <c r="G43" s="9">
        <v>19</v>
      </c>
      <c r="H43" s="9">
        <v>26</v>
      </c>
      <c r="I43" s="9">
        <f>SUM(C43:H43)</f>
        <v>105</v>
      </c>
      <c r="J43" s="13">
        <f>I43/300*100</f>
        <v>35</v>
      </c>
      <c r="K43" s="4" t="s">
        <f>IF(MIN(C43:H43)&gt;17,"Pass","Fail")</f>
        <v>8</v>
      </c>
    </row>
    <row r="44" spans="1:11" customHeight="1" ht="21.95">
      <c r="A44" s="14">
        <v>3342</v>
      </c>
      <c r="B44" s="8" t="inlineStr">
        <is>
          <t>Samiksha Rai</t>
        </is>
      </c>
      <c r="C44" s="9">
        <v>14</v>
      </c>
      <c r="D44" s="9">
        <v>22</v>
      </c>
      <c r="E44" s="9">
        <v>22</v>
      </c>
      <c r="F44" s="9">
        <v>11</v>
      </c>
      <c r="G44" s="9">
        <v>18</v>
      </c>
      <c r="H44" s="9">
        <v>25</v>
      </c>
      <c r="I44" s="9">
        <f>SUM(C44:H44)</f>
        <v>112</v>
      </c>
      <c r="J44" s="13">
        <f>I44/300*100</f>
        <v>37.333333333333336</v>
      </c>
      <c r="K44" s="4" t="s">
        <f>IF(MIN(C44:H44)&gt;17,"Pass","Fail")</f>
        <v>8</v>
      </c>
    </row>
    <row r="45" spans="1:11" customHeight="1" ht="21.95">
      <c r="A45" s="14">
        <v>3343</v>
      </c>
      <c r="B45" s="8" t="inlineStr">
        <is>
          <t>Sapratik Karki</t>
        </is>
      </c>
      <c r="C45" s="9">
        <v>18</v>
      </c>
      <c r="D45" s="9">
        <v>13</v>
      </c>
      <c r="E45" s="9">
        <v>18</v>
      </c>
      <c r="F45" s="9">
        <v>6</v>
      </c>
      <c r="G45" s="9">
        <v>18</v>
      </c>
      <c r="H45" s="9">
        <v>13</v>
      </c>
      <c r="I45" s="9">
        <f>SUM(C45:H45)</f>
        <v>86</v>
      </c>
      <c r="J45" s="13">
        <f>I45/300*100</f>
        <v>28.666666666666668</v>
      </c>
      <c r="K45" s="4" t="s">
        <f>IF(MIN(C45:H45)&gt;17,"Pass","Fail")</f>
        <v>8</v>
      </c>
    </row>
    <row r="46" spans="1:11" customHeight="1" ht="21.95">
      <c r="A46" s="14">
        <v>3344</v>
      </c>
      <c r="B46" s="8" t="inlineStr">
        <is>
          <t>Sara Thapa</t>
        </is>
      </c>
      <c r="C46" s="9">
        <v>6</v>
      </c>
      <c r="D46" s="9">
        <v>11</v>
      </c>
      <c r="E46" s="9">
        <v>4</v>
      </c>
      <c r="F46" s="9">
        <v>7</v>
      </c>
      <c r="G46" s="9">
        <v>5</v>
      </c>
      <c r="H46" s="9">
        <v>10</v>
      </c>
      <c r="I46" s="9">
        <f>SUM(C46:H46)</f>
        <v>43</v>
      </c>
      <c r="J46" s="13">
        <f>I46/300*100</f>
        <v>14.333333333333334</v>
      </c>
      <c r="K46" s="4" t="s">
        <f>IF(MIN(C46:H46)&gt;17,"Pass","Fail")</f>
        <v>8</v>
      </c>
    </row>
    <row r="47" spans="1:11" customHeight="1" ht="21.95">
      <c r="A47" s="14">
        <v>3345</v>
      </c>
      <c r="B47" s="8" t="inlineStr">
        <is>
          <t>Shiv Khatri</t>
        </is>
      </c>
      <c r="C47" s="9">
        <v>23</v>
      </c>
      <c r="D47" s="9">
        <v>32</v>
      </c>
      <c r="E47" s="9">
        <v>32</v>
      </c>
      <c r="F47" s="9">
        <v>15</v>
      </c>
      <c r="G47" s="9">
        <v>18</v>
      </c>
      <c r="H47" s="9">
        <v>25</v>
      </c>
      <c r="I47" s="9">
        <f>SUM(C47:H47)</f>
        <v>145</v>
      </c>
      <c r="J47" s="13">
        <f>I47/300*100</f>
        <v>48.333333333333336</v>
      </c>
      <c r="K47" s="4" t="s">
        <f>IF(MIN(C47:H47)&gt;17,"Pass","Fail")</f>
        <v>8</v>
      </c>
    </row>
    <row r="48" spans="1:11" customHeight="1" ht="21.95">
      <c r="A48" s="14">
        <v>3346</v>
      </c>
      <c r="B48" s="8" t="inlineStr">
        <is>
          <t>Smriti Katwal</t>
        </is>
      </c>
      <c r="C48" s="9">
        <v>27</v>
      </c>
      <c r="D48" s="9">
        <v>30</v>
      </c>
      <c r="E48" s="9">
        <v>31</v>
      </c>
      <c r="F48" s="9">
        <v>16</v>
      </c>
      <c r="G48" s="9">
        <v>18</v>
      </c>
      <c r="H48" s="9">
        <v>31</v>
      </c>
      <c r="I48" s="9">
        <f>SUM(C48:H48)</f>
        <v>153</v>
      </c>
      <c r="J48" s="13">
        <f>I48/300*100</f>
        <v>51</v>
      </c>
      <c r="K48" s="4" t="s">
        <f>IF(MIN(C48:H48)&gt;17,"Pass","Fail")</f>
        <v>8</v>
      </c>
    </row>
    <row r="49" spans="1:11" customHeight="1" ht="21.95">
      <c r="A49" s="14">
        <v>3347</v>
      </c>
      <c r="B49" s="8" t="inlineStr">
        <is>
          <t>Sonu Chaudhary</t>
        </is>
      </c>
      <c r="C49" s="9">
        <v>11</v>
      </c>
      <c r="D49" s="9">
        <v>20</v>
      </c>
      <c r="E49" s="9">
        <v>24</v>
      </c>
      <c r="F49" s="9">
        <v>21</v>
      </c>
      <c r="G49" s="9">
        <v>20</v>
      </c>
      <c r="H49" s="9">
        <v>25</v>
      </c>
      <c r="I49" s="9">
        <f>SUM(C49:H49)</f>
        <v>121</v>
      </c>
      <c r="J49" s="13">
        <f>I49/300*100</f>
        <v>40.333333333333329</v>
      </c>
      <c r="K49" s="4" t="s">
        <f>IF(MIN(C49:H49)&gt;17,"Pass","Fail")</f>
        <v>8</v>
      </c>
    </row>
    <row r="50" spans="1:11" customHeight="1" ht="21.95">
      <c r="A50" s="14">
        <v>3348</v>
      </c>
      <c r="B50" s="8" t="inlineStr">
        <is>
          <t>Yunisha Shrestha</t>
        </is>
      </c>
      <c r="C50" s="9">
        <v>18</v>
      </c>
      <c r="D50" s="9">
        <v>27</v>
      </c>
      <c r="E50" s="9">
        <v>28</v>
      </c>
      <c r="F50" s="9">
        <v>20</v>
      </c>
      <c r="G50" s="9">
        <v>24</v>
      </c>
      <c r="H50" s="9">
        <v>25</v>
      </c>
      <c r="I50" s="9">
        <f>SUM(C50:H50)</f>
        <v>142</v>
      </c>
      <c r="J50" s="13">
        <f>I50/300*100</f>
        <v>47.333333333333336</v>
      </c>
      <c r="K50" s="4" t="s">
        <f>IF(MIN(C50:H50)&gt;17,"Pass","Fail")</f>
        <v>7</v>
      </c>
    </row>
    <row r="51" spans="1:11" customHeight="1" ht="21.95">
      <c r="A51" s="14">
        <v>3349</v>
      </c>
      <c r="B51" s="2" t="inlineStr">
        <is>
          <t>Sudip Limbu</t>
        </is>
      </c>
      <c r="C51" s="9">
        <v>10</v>
      </c>
      <c r="D51" s="9">
        <v>18</v>
      </c>
      <c r="E51" s="9">
        <v>6</v>
      </c>
      <c r="F51" s="9">
        <v>1</v>
      </c>
      <c r="G51" s="9">
        <v>2</v>
      </c>
      <c r="H51" s="9">
        <v>5</v>
      </c>
      <c r="I51" s="9">
        <f>SUM(C51:H51)</f>
        <v>42</v>
      </c>
      <c r="J51" s="13">
        <f>I51/300*100</f>
        <v>14.000000000000002</v>
      </c>
      <c r="K51" s="4" t="s">
        <f>IF(MIN(C51:H51)&gt;17,"Pass","Fail")</f>
        <v>8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orientation="portrait" pageOrder="downThenOver" paperSize="9" scale="100" useFirstPageNumber="0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K46"/>
  <sheetViews>
    <sheetView topLeftCell="A31" workbookViewId="0">
      <selection activeCell="K2" sqref="K2:K3"/>
    </sheetView>
  </sheetViews>
  <sheetFormatPr defaultColWidth="67.5" defaultRowHeight="15"/>
  <cols>
    <col min="1" max="1" style="1" width="5.5703125" bestFit="1" customWidth="1"/>
    <col min="2" max="2" style="1" width="24.85546875" bestFit="1" customWidth="1"/>
    <col min="3" max="3" style="1" width="7.140625" bestFit="1" customWidth="1"/>
    <col min="4" max="5" style="1" width="6.140625" bestFit="1" customWidth="1"/>
    <col min="6" max="7" style="1" width="4.28515625" bestFit="1" customWidth="1"/>
    <col min="8" max="8" style="1" width="5.85546875" bestFit="1" customWidth="1"/>
    <col min="9" max="9" style="1" width="5" bestFit="1" customWidth="1"/>
    <col min="10" max="10" style="1" width="6.28515625" customWidth="1"/>
    <col min="11" max="16384" style="1" width="12.856370192307693"/>
  </cols>
  <sheetData>
    <row r="1" spans="1:11" customHeight="1" ht="21.95">
      <c r="A1" s="2"/>
      <c r="B1" s="3" t="inlineStr">
        <is>
          <t>MACHHAPUCHRE-XI</t>
        </is>
      </c>
      <c r="C1" s="2"/>
      <c r="D1" s="2"/>
      <c r="E1" s="2"/>
      <c r="F1" s="2"/>
      <c r="G1" s="2"/>
      <c r="H1" s="2"/>
      <c r="I1" s="2"/>
      <c r="J1" s="2"/>
      <c r="K1" s="4"/>
    </row>
    <row r="2" spans="1:11" customHeight="1" ht="21.95">
      <c r="A2" s="5" t="s">
        <v>0</v>
      </c>
      <c r="B2" s="5" t="s">
        <v>1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21</v>
      </c>
      <c r="I2" s="6" t="s">
        <v>3</v>
      </c>
      <c r="J2" s="6" t="s">
        <v>4</v>
      </c>
      <c r="K2" s="4" t="s">
        <v>5</v>
      </c>
    </row>
    <row r="3" spans="1:11" customHeight="1" ht="21.95">
      <c r="A3" s="14">
        <v>3401</v>
      </c>
      <c r="B3" s="12" t="inlineStr">
        <is>
          <t>Aayusha Kunwar</t>
        </is>
      </c>
      <c r="C3" s="9">
        <v>29</v>
      </c>
      <c r="D3" s="9">
        <v>28</v>
      </c>
      <c r="E3" s="9">
        <v>33</v>
      </c>
      <c r="F3" s="9">
        <v>10</v>
      </c>
      <c r="G3" s="9">
        <v>28</v>
      </c>
      <c r="H3" s="9">
        <v>34</v>
      </c>
      <c r="I3" s="9">
        <f>SUM(C3:H3)</f>
        <v>162</v>
      </c>
      <c r="J3" s="9">
        <f>I3/300*100</f>
        <v>54</v>
      </c>
      <c r="K3" s="4" t="s">
        <f>IF(MIN(C3:H3)&gt;17,"Pass","Fail")</f>
        <v>8</v>
      </c>
    </row>
    <row r="4" spans="1:11" customHeight="1" ht="21.95">
      <c r="A4" s="14">
        <v>3402</v>
      </c>
      <c r="B4" s="12" t="inlineStr">
        <is>
          <t>Aayushma Bhandari</t>
        </is>
      </c>
      <c r="C4" s="9">
        <v>28</v>
      </c>
      <c r="D4" s="9">
        <v>32</v>
      </c>
      <c r="E4" s="9">
        <v>31</v>
      </c>
      <c r="F4" s="9">
        <v>27</v>
      </c>
      <c r="G4" s="9">
        <v>33</v>
      </c>
      <c r="H4" s="9">
        <v>33</v>
      </c>
      <c r="I4" s="9">
        <f>SUM(C4:H4)</f>
        <v>184</v>
      </c>
      <c r="J4" s="9">
        <f>I4/300*100</f>
        <v>61.333333333333329</v>
      </c>
      <c r="K4" s="4" t="s">
        <f>IF(MIN(C4:H4)&gt;17,"Pass","Fail")</f>
        <v>7</v>
      </c>
    </row>
    <row r="5" spans="1:11" customHeight="1" ht="21.95">
      <c r="A5" s="14">
        <v>3403</v>
      </c>
      <c r="B5" s="12" t="inlineStr">
        <is>
          <t>Abhishek Khatiwada</t>
        </is>
      </c>
      <c r="C5" s="9">
        <v>26</v>
      </c>
      <c r="D5" s="9">
        <v>37</v>
      </c>
      <c r="E5" s="9">
        <v>38</v>
      </c>
      <c r="F5" s="9">
        <v>27</v>
      </c>
      <c r="G5" s="9">
        <v>27</v>
      </c>
      <c r="H5" s="9">
        <v>36</v>
      </c>
      <c r="I5" s="9">
        <f>SUM(C5:H5)</f>
        <v>191</v>
      </c>
      <c r="J5" s="9">
        <f>I5/300*100</f>
        <v>63.666666666666671</v>
      </c>
      <c r="K5" s="4" t="s">
        <f>IF(MIN(C5:H5)&gt;17,"Pass","Fail")</f>
        <v>7</v>
      </c>
    </row>
    <row r="6" spans="1:11" customHeight="1" ht="21.95">
      <c r="A6" s="14">
        <v>3404</v>
      </c>
      <c r="B6" s="12" t="inlineStr">
        <is>
          <t>Anjali Chaudhary</t>
        </is>
      </c>
      <c r="C6" s="9">
        <v>30</v>
      </c>
      <c r="D6" s="9">
        <v>37</v>
      </c>
      <c r="E6" s="9">
        <v>32</v>
      </c>
      <c r="F6" s="9">
        <v>20</v>
      </c>
      <c r="G6" s="9">
        <v>26</v>
      </c>
      <c r="H6" s="9">
        <v>28</v>
      </c>
      <c r="I6" s="9">
        <f>SUM(C6:H6)</f>
        <v>173</v>
      </c>
      <c r="J6" s="9">
        <f>I6/300*100</f>
        <v>57.666666666666664</v>
      </c>
      <c r="K6" s="4" t="s">
        <f>IF(MIN(C6:H6)&gt;17,"Pass","Fail")</f>
        <v>7</v>
      </c>
    </row>
    <row r="7" spans="1:11" customHeight="1" ht="21.95">
      <c r="A7" s="14">
        <v>3405</v>
      </c>
      <c r="B7" s="12" t="inlineStr">
        <is>
          <t>Asbina Rai</t>
        </is>
      </c>
      <c r="C7" s="9">
        <v>29</v>
      </c>
      <c r="D7" s="9">
        <v>31</v>
      </c>
      <c r="E7" s="9">
        <v>34</v>
      </c>
      <c r="F7" s="9">
        <v>7</v>
      </c>
      <c r="G7" s="9">
        <v>19</v>
      </c>
      <c r="H7" s="9">
        <v>31</v>
      </c>
      <c r="I7" s="9">
        <f>SUM(C7:H7)</f>
        <v>151</v>
      </c>
      <c r="J7" s="9">
        <f>I7/300*100</f>
        <v>50.333333333333329</v>
      </c>
      <c r="K7" s="4" t="s">
        <f>IF(MIN(C7:H7)&gt;17,"Pass","Fail")</f>
        <v>8</v>
      </c>
    </row>
    <row r="8" spans="1:11" customHeight="1" ht="21.95">
      <c r="A8" s="14">
        <v>3406</v>
      </c>
      <c r="B8" s="12" t="inlineStr">
        <is>
          <t>Bibek Jimee</t>
        </is>
      </c>
      <c r="C8" s="9">
        <v>7</v>
      </c>
      <c r="D8" s="9">
        <v>8</v>
      </c>
      <c r="E8" s="9">
        <v>1</v>
      </c>
      <c r="F8" s="9">
        <v>1</v>
      </c>
      <c r="G8" s="9">
        <v>10</v>
      </c>
      <c r="H8" s="9">
        <v>10</v>
      </c>
      <c r="I8" s="9">
        <f>SUM(C8:H8)</f>
        <v>37</v>
      </c>
      <c r="J8" s="9">
        <f>I8/300*100</f>
        <v>12.333333333333334</v>
      </c>
      <c r="K8" s="4" t="s">
        <f>IF(MIN(C8:H8)&gt;17,"Pass","Fail")</f>
        <v>8</v>
      </c>
    </row>
    <row r="9" spans="1:11" customHeight="1" ht="21.95">
      <c r="A9" s="14">
        <v>3407</v>
      </c>
      <c r="B9" s="12" t="inlineStr">
        <is>
          <t>Bipesh Gurung</t>
        </is>
      </c>
      <c r="C9" s="9">
        <v>1</v>
      </c>
      <c r="D9" s="9">
        <v>9</v>
      </c>
      <c r="E9" s="9">
        <v>2</v>
      </c>
      <c r="F9" s="9">
        <v>1</v>
      </c>
      <c r="G9" s="9">
        <v>13</v>
      </c>
      <c r="H9" s="9">
        <v>22</v>
      </c>
      <c r="I9" s="9">
        <f>SUM(C9:H9)</f>
        <v>48</v>
      </c>
      <c r="J9" s="9">
        <f>I9/300*100</f>
        <v>16</v>
      </c>
      <c r="K9" s="4" t="s">
        <f>IF(MIN(C9:H9)&gt;17,"Pass","Fail")</f>
        <v>8</v>
      </c>
    </row>
    <row r="10" spans="1:11" customHeight="1" ht="21.95">
      <c r="A10" s="14">
        <v>3408</v>
      </c>
      <c r="B10" s="12" t="inlineStr">
        <is>
          <t>Cristiano Messi Rai</t>
        </is>
      </c>
      <c r="C10" s="9">
        <v>29</v>
      </c>
      <c r="D10" s="9">
        <v>27</v>
      </c>
      <c r="E10" s="9">
        <v>18</v>
      </c>
      <c r="F10" s="9">
        <v>18</v>
      </c>
      <c r="G10" s="9">
        <v>21</v>
      </c>
      <c r="H10" s="9">
        <v>36</v>
      </c>
      <c r="I10" s="9">
        <f>SUM(C10:H10)</f>
        <v>149</v>
      </c>
      <c r="J10" s="9">
        <f>I10/300*100</f>
        <v>49.666666666666664</v>
      </c>
      <c r="K10" s="4" t="s">
        <f>IF(MIN(C10:H10)&gt;17,"Pass","Fail")</f>
        <v>7</v>
      </c>
    </row>
    <row r="11" spans="1:11" customHeight="1" ht="21.95">
      <c r="A11" s="14">
        <v>3409</v>
      </c>
      <c r="B11" s="12" t="inlineStr">
        <is>
          <t>Denish Thapa</t>
        </is>
      </c>
      <c r="C11" s="9">
        <v>18</v>
      </c>
      <c r="D11" s="9">
        <v>19</v>
      </c>
      <c r="E11" s="9">
        <v>22</v>
      </c>
      <c r="F11" s="9">
        <v>7</v>
      </c>
      <c r="G11" s="9">
        <v>22</v>
      </c>
      <c r="H11" s="9">
        <v>24</v>
      </c>
      <c r="I11" s="9">
        <f>SUM(C11:H11)</f>
        <v>112</v>
      </c>
      <c r="J11" s="9">
        <f>I11/300*100</f>
        <v>37.333333333333336</v>
      </c>
      <c r="K11" s="4" t="s">
        <f>IF(MIN(C11:H11)&gt;17,"Pass","Fail")</f>
        <v>8</v>
      </c>
    </row>
    <row r="12" spans="1:11" customHeight="1" ht="21.95">
      <c r="A12" s="14">
        <v>3410</v>
      </c>
      <c r="B12" s="12" t="inlineStr">
        <is>
          <t>Dipsan Budathoki</t>
        </is>
      </c>
      <c r="C12" s="9">
        <v>11</v>
      </c>
      <c r="D12" s="9">
        <v>21</v>
      </c>
      <c r="E12" s="9">
        <v>19</v>
      </c>
      <c r="F12" s="9">
        <v>18</v>
      </c>
      <c r="G12" s="9">
        <v>18</v>
      </c>
      <c r="H12" s="9">
        <v>19</v>
      </c>
      <c r="I12" s="9">
        <f>SUM(C12:H12)</f>
        <v>106</v>
      </c>
      <c r="J12" s="9">
        <f>I12/300*100</f>
        <v>35.333333333333336</v>
      </c>
      <c r="K12" s="4" t="s">
        <f>IF(MIN(C12:H12)&gt;17,"Pass","Fail")</f>
        <v>8</v>
      </c>
    </row>
    <row r="13" spans="1:11" customHeight="1" ht="21.95">
      <c r="A13" s="14">
        <v>3411</v>
      </c>
      <c r="B13" s="12" t="inlineStr">
        <is>
          <t>Diwash Khatri</t>
        </is>
      </c>
      <c r="C13" s="9">
        <v>12</v>
      </c>
      <c r="D13" s="9">
        <v>11</v>
      </c>
      <c r="E13" s="9">
        <v>1</v>
      </c>
      <c r="F13" s="9">
        <v>3</v>
      </c>
      <c r="G13" s="9">
        <v>25</v>
      </c>
      <c r="H13" s="9">
        <v>23</v>
      </c>
      <c r="I13" s="9">
        <f>SUM(C13:H13)</f>
        <v>75</v>
      </c>
      <c r="J13" s="9">
        <f>I13/300*100</f>
        <v>25</v>
      </c>
      <c r="K13" s="4" t="s">
        <f>IF(MIN(C13:H13)&gt;17,"Pass","Fail")</f>
        <v>8</v>
      </c>
    </row>
    <row r="14" spans="1:11" customHeight="1" ht="21.95">
      <c r="A14" s="14">
        <v>3412</v>
      </c>
      <c r="B14" s="12" t="inlineStr">
        <is>
          <t>Diwash Shrestha</t>
        </is>
      </c>
      <c r="C14" s="9">
        <v>21</v>
      </c>
      <c r="D14" s="9">
        <v>28</v>
      </c>
      <c r="E14" s="9">
        <v>25</v>
      </c>
      <c r="F14" s="9">
        <v>18</v>
      </c>
      <c r="G14" s="9">
        <v>30</v>
      </c>
      <c r="H14" s="9">
        <v>32</v>
      </c>
      <c r="I14" s="9">
        <f>SUM(C14:H14)</f>
        <v>154</v>
      </c>
      <c r="J14" s="9">
        <f>I14/300*100</f>
        <v>51.333333333333329</v>
      </c>
      <c r="K14" s="4" t="s">
        <f>IF(MIN(C14:H14)&gt;17,"Pass","Fail")</f>
        <v>7</v>
      </c>
    </row>
    <row r="15" spans="1:11" customHeight="1" ht="21.95">
      <c r="A15" s="14">
        <v>3413</v>
      </c>
      <c r="B15" s="12" t="inlineStr">
        <is>
          <t>Elisha Rai</t>
        </is>
      </c>
      <c r="C15" s="9">
        <v>29</v>
      </c>
      <c r="D15" s="9">
        <v>38</v>
      </c>
      <c r="E15" s="9">
        <v>33</v>
      </c>
      <c r="F15" s="9">
        <v>18</v>
      </c>
      <c r="G15" s="9">
        <v>29</v>
      </c>
      <c r="H15" s="9">
        <v>40</v>
      </c>
      <c r="I15" s="9">
        <f>SUM(C15:H15)</f>
        <v>187</v>
      </c>
      <c r="J15" s="9">
        <f>I15/300*100</f>
        <v>62.333333333333329</v>
      </c>
      <c r="K15" s="4" t="s">
        <f>IF(MIN(C15:H15)&gt;17,"Pass","Fail")</f>
        <v>7</v>
      </c>
    </row>
    <row r="16" spans="1:11" customHeight="1" ht="21.95">
      <c r="A16" s="14">
        <v>3414</v>
      </c>
      <c r="B16" s="12" t="inlineStr">
        <is>
          <t>Erik Paudel</t>
        </is>
      </c>
      <c r="C16" s="9">
        <v>25</v>
      </c>
      <c r="D16" s="9">
        <v>16</v>
      </c>
      <c r="E16" s="9">
        <v>18</v>
      </c>
      <c r="F16" s="9">
        <v>1</v>
      </c>
      <c r="G16" s="9">
        <v>12</v>
      </c>
      <c r="H16" s="9">
        <v>16</v>
      </c>
      <c r="I16" s="9">
        <f>SUM(C16:H16)</f>
        <v>88</v>
      </c>
      <c r="J16" s="9">
        <f>I16/300*100</f>
        <v>29.333333333333332</v>
      </c>
      <c r="K16" s="4" t="s">
        <f>IF(MIN(C16:H16)&gt;17,"Pass","Fail")</f>
        <v>8</v>
      </c>
    </row>
    <row r="17" spans="1:11" customHeight="1" ht="21.95">
      <c r="A17" s="14">
        <v>3415</v>
      </c>
      <c r="B17" s="12" t="inlineStr">
        <is>
          <t>Jessica Limbu</t>
        </is>
      </c>
      <c r="C17" s="9">
        <v>18</v>
      </c>
      <c r="D17" s="9">
        <v>29</v>
      </c>
      <c r="E17" s="9">
        <v>36</v>
      </c>
      <c r="F17" s="9">
        <v>8</v>
      </c>
      <c r="G17" s="9">
        <v>19</v>
      </c>
      <c r="H17" s="9">
        <v>20</v>
      </c>
      <c r="I17" s="9">
        <f>SUM(C17:H17)</f>
        <v>130</v>
      </c>
      <c r="J17" s="9">
        <f>I17/300*100</f>
        <v>43.333333333333336</v>
      </c>
      <c r="K17" s="4" t="s">
        <f>IF(MIN(C17:H17)&gt;17,"Pass","Fail")</f>
        <v>8</v>
      </c>
    </row>
    <row r="18" spans="1:11" customHeight="1" ht="21.95">
      <c r="A18" s="14">
        <v>3416</v>
      </c>
      <c r="B18" s="12" t="inlineStr">
        <is>
          <t>Keshika Chaudhary</t>
        </is>
      </c>
      <c r="C18" s="9">
        <v>31</v>
      </c>
      <c r="D18" s="9">
        <v>20</v>
      </c>
      <c r="E18" s="9">
        <v>32</v>
      </c>
      <c r="F18" s="9">
        <v>13</v>
      </c>
      <c r="G18" s="9">
        <v>26</v>
      </c>
      <c r="H18" s="9">
        <v>29</v>
      </c>
      <c r="I18" s="9">
        <f>SUM(C18:H18)</f>
        <v>151</v>
      </c>
      <c r="J18" s="9">
        <f>I18/300*100</f>
        <v>50.333333333333329</v>
      </c>
      <c r="K18" s="4" t="s">
        <f>IF(MIN(C18:H18)&gt;17,"Pass","Fail")</f>
        <v>8</v>
      </c>
    </row>
    <row r="19" spans="1:11" customHeight="1" ht="21.95">
      <c r="A19" s="14">
        <v>3417</v>
      </c>
      <c r="B19" s="12" t="inlineStr">
        <is>
          <t>Krishna Karki</t>
        </is>
      </c>
      <c r="C19" s="9">
        <v>19</v>
      </c>
      <c r="D19" s="9">
        <v>18</v>
      </c>
      <c r="E19" s="9">
        <v>19</v>
      </c>
      <c r="F19" s="9">
        <v>4</v>
      </c>
      <c r="G19" s="9">
        <v>18</v>
      </c>
      <c r="H19" s="9">
        <v>20</v>
      </c>
      <c r="I19" s="9">
        <f>SUM(C19:H19)</f>
        <v>98</v>
      </c>
      <c r="J19" s="9">
        <f>I19/300*100</f>
        <v>32.666666666666664</v>
      </c>
      <c r="K19" s="4" t="s">
        <f>IF(MIN(C19:H19)&gt;17,"Pass","Fail")</f>
        <v>8</v>
      </c>
    </row>
    <row r="20" spans="1:11" customHeight="1" ht="21.95">
      <c r="A20" s="14">
        <v>3418</v>
      </c>
      <c r="B20" s="12" t="inlineStr">
        <is>
          <t>Manisha Gautam</t>
        </is>
      </c>
      <c r="C20" s="9">
        <v>22</v>
      </c>
      <c r="D20" s="9">
        <v>30</v>
      </c>
      <c r="E20" s="9">
        <v>30</v>
      </c>
      <c r="F20" s="9">
        <v>8</v>
      </c>
      <c r="G20" s="9">
        <v>18</v>
      </c>
      <c r="H20" s="9">
        <v>20</v>
      </c>
      <c r="I20" s="9">
        <f>SUM(C20:H20)</f>
        <v>128</v>
      </c>
      <c r="J20" s="9">
        <f>I20/300*100</f>
        <v>42.666666666666671</v>
      </c>
      <c r="K20" s="4" t="s">
        <f>IF(MIN(C20:H20)&gt;17,"Pass","Fail")</f>
        <v>8</v>
      </c>
    </row>
    <row r="21" spans="1:11" customHeight="1" ht="21.95">
      <c r="A21" s="14">
        <v>3419</v>
      </c>
      <c r="B21" s="12" t="inlineStr">
        <is>
          <t>MD Aaishan</t>
        </is>
      </c>
      <c r="C21" s="2"/>
      <c r="D21" s="9">
        <v>11</v>
      </c>
      <c r="E21" s="9">
        <v>13</v>
      </c>
      <c r="F21" s="9">
        <v>3</v>
      </c>
      <c r="G21" s="9">
        <v>18</v>
      </c>
      <c r="H21" s="9">
        <v>14</v>
      </c>
      <c r="I21" s="9">
        <f>SUM(C21:H21)</f>
        <v>59</v>
      </c>
      <c r="J21" s="9">
        <f>I21/300*100</f>
        <v>19.666666666666664</v>
      </c>
      <c r="K21" s="4" t="s">
        <f>IF(MIN(C21:H21)&gt;17,"Pass","Fail")</f>
        <v>8</v>
      </c>
    </row>
    <row r="22" spans="1:11" customHeight="1" ht="21.95">
      <c r="A22" s="14">
        <v>3420</v>
      </c>
      <c r="B22" s="12" t="inlineStr">
        <is>
          <t>Nischal Shrestha</t>
        </is>
      </c>
      <c r="C22" s="9">
        <v>20</v>
      </c>
      <c r="D22" s="9">
        <v>28</v>
      </c>
      <c r="E22" s="9">
        <v>24</v>
      </c>
      <c r="F22" s="9">
        <v>20</v>
      </c>
      <c r="G22" s="9">
        <v>12</v>
      </c>
      <c r="H22" s="9">
        <v>28</v>
      </c>
      <c r="I22" s="9">
        <f>SUM(C22:H22)</f>
        <v>132</v>
      </c>
      <c r="J22" s="9">
        <f>I22/300*100</f>
        <v>44</v>
      </c>
      <c r="K22" s="4" t="s">
        <f>IF(MIN(C22:H22)&gt;17,"Pass","Fail")</f>
        <v>8</v>
      </c>
    </row>
    <row r="23" spans="1:11" customHeight="1" ht="21.95">
      <c r="A23" s="14">
        <v>3421</v>
      </c>
      <c r="B23" s="12" t="inlineStr">
        <is>
          <t>Parul Lamichhane</t>
        </is>
      </c>
      <c r="C23" s="9">
        <v>18</v>
      </c>
      <c r="D23" s="9">
        <v>26</v>
      </c>
      <c r="E23" s="9">
        <v>20</v>
      </c>
      <c r="F23" s="9">
        <v>1</v>
      </c>
      <c r="G23" s="9">
        <v>18</v>
      </c>
      <c r="H23" s="9">
        <v>21</v>
      </c>
      <c r="I23" s="9">
        <f>SUM(C23:H23)</f>
        <v>104</v>
      </c>
      <c r="J23" s="9">
        <f>I23/300*100</f>
        <v>34.666666666666671</v>
      </c>
      <c r="K23" s="4" t="s">
        <f>IF(MIN(C23:H23)&gt;17,"Pass","Fail")</f>
        <v>8</v>
      </c>
    </row>
    <row r="24" spans="1:11" customHeight="1" ht="21.95">
      <c r="A24" s="14">
        <v>3422</v>
      </c>
      <c r="B24" s="12" t="inlineStr">
        <is>
          <t>Prabil Pariyar</t>
        </is>
      </c>
      <c r="C24" s="9">
        <v>24</v>
      </c>
      <c r="D24" s="9">
        <v>22</v>
      </c>
      <c r="E24" s="9">
        <v>18</v>
      </c>
      <c r="F24" s="9">
        <v>4</v>
      </c>
      <c r="G24" s="9">
        <v>6</v>
      </c>
      <c r="H24" s="9">
        <v>28</v>
      </c>
      <c r="I24" s="9">
        <f>SUM(C24:H24)</f>
        <v>102</v>
      </c>
      <c r="J24" s="9">
        <f>I24/300*100</f>
        <v>34</v>
      </c>
      <c r="K24" s="4" t="s">
        <f>IF(MIN(C24:H24)&gt;17,"Pass","Fail")</f>
        <v>8</v>
      </c>
    </row>
    <row r="25" spans="1:11" customHeight="1" ht="21.95">
      <c r="A25" s="14">
        <v>3423</v>
      </c>
      <c r="B25" s="12" t="inlineStr">
        <is>
          <t>Prashant Chaudhary</t>
        </is>
      </c>
      <c r="C25" s="9">
        <v>14</v>
      </c>
      <c r="D25" s="9">
        <v>14</v>
      </c>
      <c r="E25" s="9">
        <v>8</v>
      </c>
      <c r="F25" s="9">
        <v>1</v>
      </c>
      <c r="G25" s="9">
        <v>10</v>
      </c>
      <c r="H25" s="9">
        <v>19</v>
      </c>
      <c r="I25" s="9">
        <f>SUM(C25:H25)</f>
        <v>66</v>
      </c>
      <c r="J25" s="9">
        <f>I25/300*100</f>
        <v>22</v>
      </c>
      <c r="K25" s="4" t="s">
        <f>IF(MIN(C25:H25)&gt;17,"Pass","Fail")</f>
        <v>8</v>
      </c>
    </row>
    <row r="26" spans="1:11" customHeight="1" ht="21.95">
      <c r="A26" s="14">
        <v>3424</v>
      </c>
      <c r="B26" s="12" t="inlineStr">
        <is>
          <t>Ranjan Basnet</t>
        </is>
      </c>
      <c r="C26" s="9">
        <v>20</v>
      </c>
      <c r="D26" s="9">
        <v>28</v>
      </c>
      <c r="E26" s="9">
        <v>26</v>
      </c>
      <c r="F26" s="9">
        <v>21</v>
      </c>
      <c r="G26" s="9">
        <v>21</v>
      </c>
      <c r="H26" s="9">
        <v>28</v>
      </c>
      <c r="I26" s="9">
        <f>SUM(C26:H26)</f>
        <v>144</v>
      </c>
      <c r="J26" s="9">
        <f>I26/300*100</f>
        <v>48</v>
      </c>
      <c r="K26" s="4" t="s">
        <f>IF(MIN(C26:H26)&gt;17,"Pass","Fail")</f>
        <v>7</v>
      </c>
    </row>
    <row r="27" spans="1:11" customHeight="1" ht="21.95">
      <c r="A27" s="14">
        <v>3425</v>
      </c>
      <c r="B27" s="12" t="inlineStr">
        <is>
          <t>Rasik Magar</t>
        </is>
      </c>
      <c r="C27" s="9">
        <v>28</v>
      </c>
      <c r="D27" s="9">
        <v>30</v>
      </c>
      <c r="E27" s="9">
        <v>28</v>
      </c>
      <c r="F27" s="9">
        <v>18</v>
      </c>
      <c r="G27" s="9">
        <v>15</v>
      </c>
      <c r="H27" s="9">
        <v>20</v>
      </c>
      <c r="I27" s="9">
        <f>SUM(C27:H27)</f>
        <v>139</v>
      </c>
      <c r="J27" s="9">
        <f>I27/300*100</f>
        <v>46.333333333333329</v>
      </c>
      <c r="K27" s="4" t="s">
        <f>IF(MIN(C27:H27)&gt;17,"Pass","Fail")</f>
        <v>8</v>
      </c>
    </row>
    <row r="28" spans="1:11" customHeight="1" ht="21.95">
      <c r="A28" s="14">
        <v>3426</v>
      </c>
      <c r="B28" s="12" t="inlineStr">
        <is>
          <t>Rohan Das</t>
        </is>
      </c>
      <c r="C28" s="9">
        <v>22</v>
      </c>
      <c r="D28" s="9">
        <v>22</v>
      </c>
      <c r="E28" s="9">
        <v>21</v>
      </c>
      <c r="F28" s="9">
        <v>6</v>
      </c>
      <c r="G28" s="9">
        <v>20</v>
      </c>
      <c r="H28" s="9">
        <v>37</v>
      </c>
      <c r="I28" s="9">
        <f>SUM(C28:H28)</f>
        <v>128</v>
      </c>
      <c r="J28" s="9">
        <f>I28/300*100</f>
        <v>42.666666666666671</v>
      </c>
      <c r="K28" s="4" t="s">
        <f>IF(MIN(C28:H28)&gt;17,"Pass","Fail")</f>
        <v>8</v>
      </c>
    </row>
    <row r="29" spans="1:11" customHeight="1" ht="21.95">
      <c r="A29" s="14">
        <v>3427</v>
      </c>
      <c r="B29" s="12" t="inlineStr">
        <is>
          <t>Sabin Karki</t>
        </is>
      </c>
      <c r="C29" s="9">
        <v>18</v>
      </c>
      <c r="D29" s="2">
        <v>18</v>
      </c>
      <c r="E29" s="2">
        <v>18</v>
      </c>
      <c r="F29" s="9">
        <v>18</v>
      </c>
      <c r="G29" s="2">
        <v>18</v>
      </c>
      <c r="H29" s="2">
        <v>18</v>
      </c>
      <c r="I29" s="9">
        <f>SUM(C29:H29)</f>
        <v>108</v>
      </c>
      <c r="J29" s="9">
        <f>I29/300*100</f>
        <v>36</v>
      </c>
      <c r="K29" s="4" t="s">
        <f>IF(MIN(C29:H29)&gt;17,"Pass","Fail")</f>
        <v>7</v>
      </c>
    </row>
    <row r="30" spans="1:11" customHeight="1" ht="21.95">
      <c r="A30" s="14">
        <v>3428</v>
      </c>
      <c r="B30" s="12" t="inlineStr">
        <is>
          <t>Sagar Limbu</t>
        </is>
      </c>
      <c r="C30" s="9">
        <v>12</v>
      </c>
      <c r="D30" s="9">
        <v>18</v>
      </c>
      <c r="E30" s="9">
        <v>18</v>
      </c>
      <c r="F30" s="9">
        <v>2</v>
      </c>
      <c r="G30" s="9">
        <v>14</v>
      </c>
      <c r="H30" s="9">
        <v>18</v>
      </c>
      <c r="I30" s="9">
        <f>SUM(C30:H30)</f>
        <v>82</v>
      </c>
      <c r="J30" s="9">
        <f>I30/300*100</f>
        <v>27.333333333333332</v>
      </c>
      <c r="K30" s="4" t="s">
        <f>IF(MIN(C30:H30)&gt;17,"Pass","Fail")</f>
        <v>8</v>
      </c>
    </row>
    <row r="31" spans="1:11" customHeight="1" ht="21.95">
      <c r="A31" s="14">
        <v>3429</v>
      </c>
      <c r="B31" s="12" t="inlineStr">
        <is>
          <t>Sahil Chaudhary</t>
        </is>
      </c>
      <c r="C31" s="9">
        <v>37</v>
      </c>
      <c r="D31" s="9">
        <v>22</v>
      </c>
      <c r="E31" s="9">
        <v>28</v>
      </c>
      <c r="F31" s="9">
        <v>27</v>
      </c>
      <c r="G31" s="9">
        <v>36</v>
      </c>
      <c r="H31" s="9">
        <v>40</v>
      </c>
      <c r="I31" s="9">
        <f>SUM(C31:H31)</f>
        <v>190</v>
      </c>
      <c r="J31" s="9">
        <f>I31/300*100</f>
        <v>63.333333333333329</v>
      </c>
      <c r="K31" s="4" t="s">
        <f>IF(MIN(C31:H31)&gt;17,"Pass","Fail")</f>
        <v>7</v>
      </c>
    </row>
    <row r="32" spans="1:11" customHeight="1" ht="21.95">
      <c r="A32" s="14">
        <v>3430</v>
      </c>
      <c r="B32" s="12" t="inlineStr">
        <is>
          <t>Sajan Magar</t>
        </is>
      </c>
      <c r="C32" s="9">
        <v>30</v>
      </c>
      <c r="D32" s="9">
        <v>30</v>
      </c>
      <c r="E32" s="9">
        <v>31</v>
      </c>
      <c r="F32" s="9">
        <v>18</v>
      </c>
      <c r="G32" s="9">
        <v>22</v>
      </c>
      <c r="H32" s="9">
        <v>30</v>
      </c>
      <c r="I32" s="9">
        <f>SUM(C32:H32)</f>
        <v>161</v>
      </c>
      <c r="J32" s="9">
        <f>I32/300*100</f>
        <v>53.666666666666664</v>
      </c>
      <c r="K32" s="4" t="s">
        <f>IF(MIN(C32:H32)&gt;17,"Pass","Fail")</f>
        <v>7</v>
      </c>
    </row>
    <row r="33" spans="1:11" customHeight="1" ht="21.95">
      <c r="A33" s="14">
        <v>3431</v>
      </c>
      <c r="B33" s="12" t="inlineStr">
        <is>
          <t>Saksham Karki</t>
        </is>
      </c>
      <c r="C33" s="9">
        <v>28</v>
      </c>
      <c r="D33" s="9">
        <v>38</v>
      </c>
      <c r="E33" s="9">
        <v>34</v>
      </c>
      <c r="F33" s="9">
        <v>18</v>
      </c>
      <c r="G33" s="9">
        <v>33</v>
      </c>
      <c r="H33" s="9">
        <v>37</v>
      </c>
      <c r="I33" s="9">
        <f>SUM(C33:H33)</f>
        <v>188</v>
      </c>
      <c r="J33" s="9">
        <f>I33/300*100</f>
        <v>62.666666666666671</v>
      </c>
      <c r="K33" s="4" t="s">
        <f>IF(MIN(C33:H33)&gt;17,"Pass","Fail")</f>
        <v>7</v>
      </c>
    </row>
    <row r="34" spans="1:11" customHeight="1" ht="21.95">
      <c r="A34" s="14">
        <v>3432</v>
      </c>
      <c r="B34" s="12" t="inlineStr">
        <is>
          <t>Salina Darji</t>
        </is>
      </c>
      <c r="C34" s="9">
        <v>31</v>
      </c>
      <c r="D34" s="9">
        <v>32</v>
      </c>
      <c r="E34" s="9">
        <v>25</v>
      </c>
      <c r="F34" s="9">
        <v>22</v>
      </c>
      <c r="G34" s="9">
        <v>29</v>
      </c>
      <c r="H34" s="9">
        <v>32</v>
      </c>
      <c r="I34" s="9">
        <f>SUM(C34:H34)</f>
        <v>171</v>
      </c>
      <c r="J34" s="9">
        <f>I34/300*100</f>
        <v>56.999999999999993</v>
      </c>
      <c r="K34" s="4" t="s">
        <f>IF(MIN(C34:H34)&gt;17,"Pass","Fail")</f>
        <v>7</v>
      </c>
    </row>
    <row r="35" spans="1:11" customHeight="1" ht="21.95">
      <c r="A35" s="14">
        <v>3433</v>
      </c>
      <c r="B35" s="12" t="inlineStr">
        <is>
          <t>Samip Tamang</t>
        </is>
      </c>
      <c r="C35" s="9">
        <v>19</v>
      </c>
      <c r="D35" s="9">
        <v>29</v>
      </c>
      <c r="E35" s="9">
        <v>26</v>
      </c>
      <c r="F35" s="9">
        <v>1</v>
      </c>
      <c r="G35" s="9">
        <v>11</v>
      </c>
      <c r="H35" s="9">
        <v>3</v>
      </c>
      <c r="I35" s="9">
        <f>SUM(C35:H35)</f>
        <v>89</v>
      </c>
      <c r="J35" s="9">
        <f>I35/300*100</f>
        <v>29.666666666666668</v>
      </c>
      <c r="K35" s="4" t="s">
        <f>IF(MIN(C35:H35)&gt;17,"Pass","Fail")</f>
        <v>8</v>
      </c>
    </row>
    <row r="36" spans="1:11" customHeight="1" ht="21.95">
      <c r="A36" s="14">
        <v>3434</v>
      </c>
      <c r="B36" s="12" t="inlineStr">
        <is>
          <t>Samir Tatma</t>
        </is>
      </c>
      <c r="C36" s="9">
        <v>23</v>
      </c>
      <c r="D36" s="9">
        <v>13</v>
      </c>
      <c r="E36" s="9">
        <v>1</v>
      </c>
      <c r="F36" s="9">
        <v>1</v>
      </c>
      <c r="G36" s="9">
        <v>7</v>
      </c>
      <c r="H36" s="9">
        <v>4</v>
      </c>
      <c r="I36" s="9">
        <f>SUM(C36:H36)</f>
        <v>49</v>
      </c>
      <c r="J36" s="9">
        <f>I36/300*100</f>
        <v>16.333333333333332</v>
      </c>
      <c r="K36" s="4" t="s">
        <f>IF(MIN(C36:H36)&gt;17,"Pass","Fail")</f>
        <v>8</v>
      </c>
    </row>
    <row r="37" spans="1:11" customHeight="1" ht="21.95">
      <c r="A37" s="14">
        <v>3435</v>
      </c>
      <c r="B37" s="12" t="inlineStr">
        <is>
          <t>Sandesh Koirala</t>
        </is>
      </c>
      <c r="C37" s="9">
        <v>4</v>
      </c>
      <c r="D37" s="9">
        <v>21</v>
      </c>
      <c r="E37" s="9">
        <v>27</v>
      </c>
      <c r="F37" s="9">
        <v>3</v>
      </c>
      <c r="G37" s="9">
        <v>18</v>
      </c>
      <c r="H37" s="9">
        <v>23</v>
      </c>
      <c r="I37" s="9">
        <f>SUM(C37:H37)</f>
        <v>96</v>
      </c>
      <c r="J37" s="9">
        <f>I37/300*100</f>
        <v>32</v>
      </c>
      <c r="K37" s="4" t="s">
        <f>IF(MIN(C37:H37)&gt;17,"Pass","Fail")</f>
        <v>8</v>
      </c>
    </row>
    <row r="38" spans="1:11" customHeight="1" ht="21.95">
      <c r="A38" s="14">
        <v>3436</v>
      </c>
      <c r="B38" s="12" t="inlineStr">
        <is>
          <t>Sandhya Basnet</t>
        </is>
      </c>
      <c r="C38" s="9">
        <v>21</v>
      </c>
      <c r="D38" s="9">
        <v>33</v>
      </c>
      <c r="E38" s="9">
        <v>28</v>
      </c>
      <c r="F38" s="9">
        <v>18</v>
      </c>
      <c r="G38" s="9">
        <v>21</v>
      </c>
      <c r="H38" s="9">
        <v>0</v>
      </c>
      <c r="I38" s="9">
        <f>SUM(C38:H38)</f>
        <v>121</v>
      </c>
      <c r="J38" s="9">
        <f>I38/300*100</f>
        <v>40.333333333333329</v>
      </c>
      <c r="K38" s="4" t="s">
        <f>IF(MIN(C38:H38)&gt;17,"Pass","Fail")</f>
        <v>8</v>
      </c>
    </row>
    <row r="39" spans="1:11" customHeight="1" ht="21.95">
      <c r="A39" s="14">
        <v>3437</v>
      </c>
      <c r="B39" s="12" t="inlineStr">
        <is>
          <t>Sayaman Siwakoti</t>
        </is>
      </c>
      <c r="C39" s="9">
        <v>25</v>
      </c>
      <c r="D39" s="9">
        <v>20</v>
      </c>
      <c r="E39" s="9">
        <v>14</v>
      </c>
      <c r="F39" s="9">
        <v>4</v>
      </c>
      <c r="G39" s="9">
        <v>19</v>
      </c>
      <c r="H39" s="9">
        <v>32</v>
      </c>
      <c r="I39" s="9">
        <f>SUM(C39:H39)</f>
        <v>114</v>
      </c>
      <c r="J39" s="9">
        <f>I39/300*100</f>
        <v>38</v>
      </c>
      <c r="K39" s="4" t="s">
        <f>IF(MIN(C39:H39)&gt;17,"Pass","Fail")</f>
        <v>8</v>
      </c>
    </row>
    <row r="40" spans="1:11" customHeight="1" ht="21.95">
      <c r="A40" s="14">
        <v>3438</v>
      </c>
      <c r="B40" s="12" t="inlineStr">
        <is>
          <t>Shrawan Acharya</t>
        </is>
      </c>
      <c r="C40" s="9">
        <v>22</v>
      </c>
      <c r="D40" s="9">
        <v>21</v>
      </c>
      <c r="E40" s="9">
        <v>12</v>
      </c>
      <c r="F40" s="9">
        <v>3</v>
      </c>
      <c r="G40" s="9">
        <v>22</v>
      </c>
      <c r="H40" s="9">
        <v>26</v>
      </c>
      <c r="I40" s="9">
        <f>SUM(C40:H40)</f>
        <v>106</v>
      </c>
      <c r="J40" s="9">
        <f>I40/300*100</f>
        <v>35.333333333333336</v>
      </c>
      <c r="K40" s="4" t="s">
        <f>IF(MIN(C40:H40)&gt;17,"Pass","Fail")</f>
        <v>8</v>
      </c>
    </row>
    <row r="41" spans="1:11" customHeight="1" ht="21.95">
      <c r="A41" s="14">
        <v>3439</v>
      </c>
      <c r="B41" s="12" t="inlineStr">
        <is>
          <t>Shreya Pokharel</t>
        </is>
      </c>
      <c r="C41" s="9">
        <v>30</v>
      </c>
      <c r="D41" s="9">
        <v>34</v>
      </c>
      <c r="E41" s="9">
        <v>29</v>
      </c>
      <c r="F41" s="9">
        <v>22</v>
      </c>
      <c r="G41" s="9">
        <v>22</v>
      </c>
      <c r="H41" s="9">
        <v>31</v>
      </c>
      <c r="I41" s="9">
        <f>SUM(C41:H41)</f>
        <v>168</v>
      </c>
      <c r="J41" s="9">
        <f>I41/300*100</f>
        <v>56.000000000000007</v>
      </c>
      <c r="K41" s="4" t="s">
        <f>IF(MIN(C41:H41)&gt;17,"Pass","Fail")</f>
        <v>7</v>
      </c>
    </row>
    <row r="42" spans="1:11" customHeight="1" ht="21.95">
      <c r="A42" s="14">
        <v>3440</v>
      </c>
      <c r="B42" s="12" t="inlineStr">
        <is>
          <t>Simran Bhatta</t>
        </is>
      </c>
      <c r="C42" s="9">
        <v>28</v>
      </c>
      <c r="D42" s="9">
        <v>32</v>
      </c>
      <c r="E42" s="9">
        <v>21</v>
      </c>
      <c r="F42" s="9">
        <v>18</v>
      </c>
      <c r="G42" s="9">
        <v>22</v>
      </c>
      <c r="H42" s="9">
        <v>20</v>
      </c>
      <c r="I42" s="9">
        <f>SUM(C42:H42)</f>
        <v>141</v>
      </c>
      <c r="J42" s="9">
        <f>I42/300*100</f>
        <v>47</v>
      </c>
      <c r="K42" s="4" t="s">
        <f>IF(MIN(C42:H42)&gt;17,"Pass","Fail")</f>
        <v>7</v>
      </c>
    </row>
    <row r="43" spans="1:11" customHeight="1" ht="21.95">
      <c r="A43" s="14">
        <v>3441</v>
      </c>
      <c r="B43" s="12" t="inlineStr">
        <is>
          <t>Sivani Bhujel</t>
        </is>
      </c>
      <c r="C43" s="9">
        <v>19</v>
      </c>
      <c r="D43" s="9">
        <v>27</v>
      </c>
      <c r="E43" s="9">
        <v>19</v>
      </c>
      <c r="F43" s="9">
        <v>2</v>
      </c>
      <c r="G43" s="9">
        <v>9</v>
      </c>
      <c r="H43" s="9">
        <v>12</v>
      </c>
      <c r="I43" s="9">
        <f>SUM(C43:H43)</f>
        <v>88</v>
      </c>
      <c r="J43" s="9">
        <f>I43/300*100</f>
        <v>29.333333333333332</v>
      </c>
      <c r="K43" s="4" t="s">
        <f>IF(MIN(C43:H43)&gt;17,"Pass","Fail")</f>
        <v>8</v>
      </c>
    </row>
    <row r="44" spans="1:11" customHeight="1" ht="21.95">
      <c r="A44" s="14">
        <v>3442</v>
      </c>
      <c r="B44" s="12" t="inlineStr">
        <is>
          <t>Sohan Rai</t>
        </is>
      </c>
      <c r="C44" s="9">
        <v>18</v>
      </c>
      <c r="D44" s="9">
        <v>18</v>
      </c>
      <c r="E44" s="9">
        <v>1</v>
      </c>
      <c r="F44" s="9">
        <v>1</v>
      </c>
      <c r="G44" s="9">
        <v>12</v>
      </c>
      <c r="H44" s="9">
        <v>14</v>
      </c>
      <c r="I44" s="9">
        <f>SUM(C44:H44)</f>
        <v>64</v>
      </c>
      <c r="J44" s="9">
        <f>I44/300*100</f>
        <v>21.333333333333336</v>
      </c>
      <c r="K44" s="4" t="s">
        <f>IF(MIN(C44:H44)&gt;17,"Pass","Fail")</f>
        <v>8</v>
      </c>
    </row>
    <row r="45" spans="1:11" customHeight="1" ht="21.95">
      <c r="A45" s="14">
        <v>3443</v>
      </c>
      <c r="B45" s="12" t="inlineStr">
        <is>
          <t>Tankanath Bhattarai</t>
        </is>
      </c>
      <c r="C45" s="9">
        <v>36</v>
      </c>
      <c r="D45" s="9">
        <v>16</v>
      </c>
      <c r="E45" s="9">
        <v>31</v>
      </c>
      <c r="F45" s="9">
        <v>23</v>
      </c>
      <c r="G45" s="9">
        <v>32</v>
      </c>
      <c r="H45" s="9">
        <v>32</v>
      </c>
      <c r="I45" s="9">
        <f>SUM(C45:H45)</f>
        <v>170</v>
      </c>
      <c r="J45" s="9">
        <f>I45/300*100</f>
        <v>56.666666666666664</v>
      </c>
      <c r="K45" s="4" t="s">
        <f>IF(MIN(C45:H45)&gt;17,"Pass","Fail")</f>
        <v>8</v>
      </c>
    </row>
    <row r="46" spans="1:11" customHeight="1" ht="21.95">
      <c r="A46" s="14">
        <v>3444</v>
      </c>
      <c r="B46" s="2" t="inlineStr">
        <is>
          <t>Bubika Chaudhary</t>
        </is>
      </c>
      <c r="C46" s="9">
        <v>7</v>
      </c>
      <c r="D46" s="9">
        <v>31</v>
      </c>
      <c r="E46" s="9">
        <v>22</v>
      </c>
      <c r="F46" s="9">
        <v>4</v>
      </c>
      <c r="G46" s="9">
        <v>8</v>
      </c>
      <c r="H46" s="9">
        <v>21</v>
      </c>
      <c r="I46" s="9">
        <f>SUM(C46:H46)</f>
        <v>93</v>
      </c>
      <c r="J46" s="9">
        <f>I46/300*100</f>
        <v>31</v>
      </c>
      <c r="K46" s="4" t="s">
        <f>IF(MIN(C46:H46)&gt;17,"Pass","Fail")</f>
        <v>8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orientation="portrait" pageOrder="downThenOver" paperSize="9" scale="100" useFirstPageNumber="0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K49"/>
  <sheetViews>
    <sheetView topLeftCell="A31" workbookViewId="0">
      <selection activeCell="K2" sqref="K2:K3"/>
    </sheetView>
  </sheetViews>
  <sheetFormatPr defaultColWidth="67.5" defaultRowHeight="15"/>
  <cols>
    <col min="1" max="1" style="1" width="5.5703125" bestFit="1" customWidth="1"/>
    <col min="2" max="2" style="1" width="18.42578125" bestFit="1" customWidth="1"/>
    <col min="3" max="3" style="1" width="7.140625" bestFit="1" customWidth="1"/>
    <col min="4" max="5" style="1" width="6.140625" bestFit="1" customWidth="1"/>
    <col min="6" max="7" style="1" width="4.28515625" bestFit="1" customWidth="1"/>
    <col min="8" max="8" style="1" width="9" bestFit="1" customWidth="1"/>
    <col min="9" max="9" style="1" width="5" bestFit="1" customWidth="1"/>
    <col min="10" max="10" style="1" width="6.28515625" customWidth="1"/>
    <col min="11" max="16384" style="1" width="12.856370192307693"/>
  </cols>
  <sheetData>
    <row r="1" spans="1:11" customHeight="1" ht="21.95">
      <c r="A1" s="2"/>
      <c r="B1" s="3" t="inlineStr">
        <is>
          <t>GLOBAL-XI</t>
        </is>
      </c>
      <c r="C1" s="2"/>
      <c r="D1" s="2"/>
      <c r="E1" s="2"/>
      <c r="F1" s="2"/>
      <c r="G1" s="2"/>
      <c r="H1" s="2"/>
      <c r="I1" s="2"/>
      <c r="J1" s="2"/>
      <c r="K1" s="4"/>
    </row>
    <row r="2" spans="1:11" customHeight="1" ht="21.95">
      <c r="A2" s="5" t="s">
        <v>0</v>
      </c>
      <c r="B2" s="5" t="s">
        <v>1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23</v>
      </c>
      <c r="I2" s="6" t="s">
        <v>3</v>
      </c>
      <c r="J2" s="6" t="s">
        <v>4</v>
      </c>
      <c r="K2" s="4" t="s">
        <v>5</v>
      </c>
    </row>
    <row r="3" spans="1:11" customHeight="1" ht="21.95">
      <c r="A3" s="14">
        <v>3501</v>
      </c>
      <c r="B3" s="8" t="inlineStr">
        <is>
          <t>Aasika Pandit</t>
        </is>
      </c>
      <c r="C3" s="9">
        <v>39</v>
      </c>
      <c r="D3" s="9">
        <v>41</v>
      </c>
      <c r="E3" s="9">
        <v>42</v>
      </c>
      <c r="F3" s="9">
        <v>36</v>
      </c>
      <c r="G3" s="9">
        <v>38</v>
      </c>
      <c r="H3" s="9">
        <v>43</v>
      </c>
      <c r="I3" s="9">
        <f>SUM(C3:H3)</f>
        <v>239</v>
      </c>
      <c r="J3" s="9">
        <f>I3/300*100</f>
        <v>79.666666666666657</v>
      </c>
      <c r="K3" s="4" t="s">
        <f>IF(MIN(C3:H3)&gt;17,"Pass","Fail")</f>
        <v>7</v>
      </c>
    </row>
    <row r="4" spans="1:11" customHeight="1" ht="21.95">
      <c r="A4" s="14">
        <v>3502</v>
      </c>
      <c r="B4" s="8" t="inlineStr">
        <is>
          <t>Angish Khadka</t>
        </is>
      </c>
      <c r="C4" s="9">
        <v>32</v>
      </c>
      <c r="D4" s="9">
        <v>36</v>
      </c>
      <c r="E4" s="9">
        <v>29</v>
      </c>
      <c r="F4" s="9">
        <v>41</v>
      </c>
      <c r="G4" s="9">
        <v>35</v>
      </c>
      <c r="H4" s="9">
        <v>40</v>
      </c>
      <c r="I4" s="9">
        <f>SUM(C4:H4)</f>
        <v>213</v>
      </c>
      <c r="J4" s="9">
        <f>I4/300*100</f>
        <v>71</v>
      </c>
      <c r="K4" s="4" t="s">
        <f>IF(MIN(C4:H4)&gt;17,"Pass","Fail")</f>
        <v>7</v>
      </c>
    </row>
    <row r="5" spans="1:11" customHeight="1" ht="21.95">
      <c r="A5" s="14">
        <v>3503</v>
      </c>
      <c r="B5" s="8" t="inlineStr">
        <is>
          <t>Anmol Karki</t>
        </is>
      </c>
      <c r="C5" s="9">
        <v>35</v>
      </c>
      <c r="D5" s="9">
        <v>38</v>
      </c>
      <c r="E5" s="9">
        <v>32</v>
      </c>
      <c r="F5" s="9">
        <v>28</v>
      </c>
      <c r="G5" s="9">
        <v>34</v>
      </c>
      <c r="H5" s="9">
        <v>37</v>
      </c>
      <c r="I5" s="9">
        <f>SUM(C5:H5)</f>
        <v>204</v>
      </c>
      <c r="J5" s="9">
        <f>I5/300*100</f>
        <v>68</v>
      </c>
      <c r="K5" s="4" t="s">
        <f>IF(MIN(C5:H5)&gt;17,"Pass","Fail")</f>
        <v>7</v>
      </c>
    </row>
    <row r="6" spans="1:11" customHeight="1" ht="21.95">
      <c r="A6" s="14">
        <v>3504</v>
      </c>
      <c r="B6" s="8" t="inlineStr">
        <is>
          <t>Anusha Tiwari</t>
        </is>
      </c>
      <c r="C6" s="9">
        <v>32</v>
      </c>
      <c r="D6" s="9">
        <v>36</v>
      </c>
      <c r="E6" s="9">
        <v>31</v>
      </c>
      <c r="F6" s="9">
        <v>12</v>
      </c>
      <c r="G6" s="9">
        <v>19</v>
      </c>
      <c r="H6" s="9">
        <v>40</v>
      </c>
      <c r="I6" s="9">
        <f>SUM(C6:H6)</f>
        <v>170</v>
      </c>
      <c r="J6" s="9">
        <f>I6/300*100</f>
        <v>56.666666666666664</v>
      </c>
      <c r="K6" s="4" t="s">
        <f>IF(MIN(C6:H6)&gt;17,"Pass","Fail")</f>
        <v>8</v>
      </c>
    </row>
    <row r="7" spans="1:11" customHeight="1" ht="21.95">
      <c r="A7" s="14">
        <v>3505</v>
      </c>
      <c r="B7" s="8" t="inlineStr">
        <is>
          <t>Anuska Ghimire</t>
        </is>
      </c>
      <c r="C7" s="9">
        <v>25</v>
      </c>
      <c r="D7" s="9">
        <v>30</v>
      </c>
      <c r="E7" s="9">
        <v>22</v>
      </c>
      <c r="F7" s="9">
        <v>6</v>
      </c>
      <c r="G7" s="9">
        <v>11</v>
      </c>
      <c r="H7" s="9">
        <v>35</v>
      </c>
      <c r="I7" s="9">
        <f>SUM(C7:H7)</f>
        <v>129</v>
      </c>
      <c r="J7" s="9">
        <f>I7/300*100</f>
        <v>43</v>
      </c>
      <c r="K7" s="4" t="s">
        <f>IF(MIN(C7:H7)&gt;17,"Pass","Fail")</f>
        <v>8</v>
      </c>
    </row>
    <row r="8" spans="1:11" customHeight="1" ht="21.95">
      <c r="A8" s="14">
        <v>3506</v>
      </c>
      <c r="B8" s="8" t="inlineStr">
        <is>
          <t>Babisha Tamang</t>
        </is>
      </c>
      <c r="C8" s="9">
        <v>29</v>
      </c>
      <c r="D8" s="9">
        <v>29</v>
      </c>
      <c r="E8" s="9">
        <v>18</v>
      </c>
      <c r="F8" s="9">
        <v>8</v>
      </c>
      <c r="G8" s="9">
        <v>12</v>
      </c>
      <c r="H8" s="9">
        <v>35</v>
      </c>
      <c r="I8" s="9">
        <f>SUM(C8:H8)</f>
        <v>131</v>
      </c>
      <c r="J8" s="9">
        <f>I8/300*100</f>
        <v>43.666666666666664</v>
      </c>
      <c r="K8" s="4" t="s">
        <f>IF(MIN(C8:H8)&gt;17,"Pass","Fail")</f>
        <v>8</v>
      </c>
    </row>
    <row r="9" spans="1:11" customHeight="1" ht="21.95">
      <c r="A9" s="14">
        <v>3507</v>
      </c>
      <c r="B9" s="8" t="inlineStr">
        <is>
          <t>Bipana Acharya</t>
        </is>
      </c>
      <c r="C9" s="9">
        <v>32</v>
      </c>
      <c r="D9" s="9">
        <v>43</v>
      </c>
      <c r="E9" s="9">
        <v>33</v>
      </c>
      <c r="F9" s="9">
        <v>24</v>
      </c>
      <c r="G9" s="9">
        <v>28</v>
      </c>
      <c r="H9" s="9">
        <v>40</v>
      </c>
      <c r="I9" s="9">
        <f>SUM(C9:H9)</f>
        <v>200</v>
      </c>
      <c r="J9" s="9">
        <f>I9/300*100</f>
        <v>66.666666666666657</v>
      </c>
      <c r="K9" s="4" t="s">
        <f>IF(MIN(C9:H9)&gt;17,"Pass","Fail")</f>
        <v>7</v>
      </c>
    </row>
    <row r="10" spans="1:11" customHeight="1" ht="21.95">
      <c r="A10" s="14">
        <v>3508</v>
      </c>
      <c r="B10" s="8" t="inlineStr">
        <is>
          <t>John Tamang</t>
        </is>
      </c>
      <c r="C10" s="9">
        <v>30</v>
      </c>
      <c r="D10" s="9">
        <v>35</v>
      </c>
      <c r="E10" s="9">
        <v>24</v>
      </c>
      <c r="F10" s="9">
        <v>18</v>
      </c>
      <c r="G10" s="9">
        <v>24</v>
      </c>
      <c r="H10" s="9">
        <v>37</v>
      </c>
      <c r="I10" s="9">
        <f>SUM(C10:H10)</f>
        <v>168</v>
      </c>
      <c r="J10" s="9">
        <f>I10/300*100</f>
        <v>56.000000000000007</v>
      </c>
      <c r="K10" s="4" t="s">
        <f>IF(MIN(C10:H10)&gt;17,"Pass","Fail")</f>
        <v>7</v>
      </c>
    </row>
    <row r="11" spans="1:11" customHeight="1" ht="21.95">
      <c r="A11" s="14">
        <v>3509</v>
      </c>
      <c r="B11" s="8" t="inlineStr">
        <is>
          <t>Kabita Shah.</t>
        </is>
      </c>
      <c r="C11" s="9">
        <v>27</v>
      </c>
      <c r="D11" s="9">
        <v>34</v>
      </c>
      <c r="E11" s="9">
        <v>31</v>
      </c>
      <c r="F11" s="9">
        <v>13</v>
      </c>
      <c r="G11" s="9">
        <v>8</v>
      </c>
      <c r="H11" s="9">
        <v>41</v>
      </c>
      <c r="I11" s="9">
        <f>SUM(C11:H11)</f>
        <v>154</v>
      </c>
      <c r="J11" s="9">
        <f>I11/300*100</f>
        <v>51.333333333333329</v>
      </c>
      <c r="K11" s="4" t="s">
        <f>IF(MIN(C11:H11)&gt;17,"Pass","Fail")</f>
        <v>8</v>
      </c>
    </row>
    <row r="12" spans="1:11" customHeight="1" ht="21.95">
      <c r="A12" s="14">
        <v>3510</v>
      </c>
      <c r="B12" s="8" t="inlineStr">
        <is>
          <t>Kaushal Chaudhary</t>
        </is>
      </c>
      <c r="C12" s="9">
        <v>28</v>
      </c>
      <c r="D12" s="9">
        <v>30</v>
      </c>
      <c r="E12" s="9">
        <v>22</v>
      </c>
      <c r="F12" s="9">
        <v>10</v>
      </c>
      <c r="G12" s="9">
        <v>19</v>
      </c>
      <c r="H12" s="9">
        <v>30</v>
      </c>
      <c r="I12" s="9">
        <f>SUM(C12:H12)</f>
        <v>139</v>
      </c>
      <c r="J12" s="9">
        <f>I12/300*100</f>
        <v>46.333333333333329</v>
      </c>
      <c r="K12" s="4" t="s">
        <f>IF(MIN(C12:H12)&gt;17,"Pass","Fail")</f>
        <v>8</v>
      </c>
    </row>
    <row r="13" spans="1:11" customHeight="1" ht="21.95">
      <c r="A13" s="14">
        <v>3511</v>
      </c>
      <c r="B13" s="8" t="inlineStr">
        <is>
          <t>Kushal Koirala</t>
        </is>
      </c>
      <c r="C13" s="9">
        <v>30</v>
      </c>
      <c r="D13" s="9">
        <v>37</v>
      </c>
      <c r="E13" s="9">
        <v>35</v>
      </c>
      <c r="F13" s="9">
        <v>21</v>
      </c>
      <c r="G13" s="9">
        <v>29</v>
      </c>
      <c r="H13" s="9">
        <v>43</v>
      </c>
      <c r="I13" s="9">
        <f>SUM(C13:H13)</f>
        <v>195</v>
      </c>
      <c r="J13" s="9">
        <f>I13/300*100</f>
        <v>65</v>
      </c>
      <c r="K13" s="4" t="s">
        <f>IF(MIN(C13:H13)&gt;17,"Pass","Fail")</f>
        <v>7</v>
      </c>
    </row>
    <row r="14" spans="1:11" customHeight="1" ht="21.95">
      <c r="A14" s="14">
        <v>3512</v>
      </c>
      <c r="B14" s="8" t="inlineStr">
        <is>
          <t>Linkan Basnet</t>
        </is>
      </c>
      <c r="C14" s="9">
        <v>14</v>
      </c>
      <c r="D14" s="9">
        <v>10</v>
      </c>
      <c r="E14" s="9">
        <v>5</v>
      </c>
      <c r="F14" s="9">
        <v>4</v>
      </c>
      <c r="G14" s="9">
        <v>7</v>
      </c>
      <c r="H14" s="9">
        <v>21</v>
      </c>
      <c r="I14" s="9">
        <f>SUM(C14:H14)</f>
        <v>61</v>
      </c>
      <c r="J14" s="9">
        <f>I14/300*100</f>
        <v>20.333333333333332</v>
      </c>
      <c r="K14" s="4" t="s">
        <f>IF(MIN(C14:H14)&gt;17,"Pass","Fail")</f>
        <v>8</v>
      </c>
    </row>
    <row r="15" spans="1:11" customHeight="1" ht="21.95">
      <c r="A15" s="14">
        <v>3513</v>
      </c>
      <c r="B15" s="8" t="inlineStr">
        <is>
          <t>Malin Bastola</t>
        </is>
      </c>
      <c r="C15" s="9">
        <v>27</v>
      </c>
      <c r="D15" s="9">
        <v>38</v>
      </c>
      <c r="E15" s="9">
        <v>29</v>
      </c>
      <c r="F15" s="9">
        <v>18</v>
      </c>
      <c r="G15" s="9">
        <v>23</v>
      </c>
      <c r="H15" s="9">
        <v>40</v>
      </c>
      <c r="I15" s="9">
        <f>SUM(C15:H15)</f>
        <v>175</v>
      </c>
      <c r="J15" s="9">
        <f>I15/300*100</f>
        <v>58.333333333333336</v>
      </c>
      <c r="K15" s="4" t="s">
        <f>IF(MIN(C15:H15)&gt;17,"Pass","Fail")</f>
        <v>7</v>
      </c>
    </row>
    <row r="16" spans="1:11" customHeight="1" ht="21.95">
      <c r="A16" s="14">
        <v>3514</v>
      </c>
      <c r="B16" s="8" t="inlineStr">
        <is>
          <t>Mandip Jung Basnet</t>
        </is>
      </c>
      <c r="C16" s="9">
        <v>31</v>
      </c>
      <c r="D16" s="9">
        <v>35</v>
      </c>
      <c r="E16" s="9">
        <v>31</v>
      </c>
      <c r="F16" s="9">
        <v>26</v>
      </c>
      <c r="G16" s="9">
        <v>34</v>
      </c>
      <c r="H16" s="9">
        <v>33</v>
      </c>
      <c r="I16" s="9">
        <f>SUM(C16:H16)</f>
        <v>190</v>
      </c>
      <c r="J16" s="9">
        <f>I16/300*100</f>
        <v>63.333333333333329</v>
      </c>
      <c r="K16" s="4" t="s">
        <f>IF(MIN(C16:H16)&gt;17,"Pass","Fail")</f>
        <v>7</v>
      </c>
    </row>
    <row r="17" spans="1:11" customHeight="1" ht="21.95">
      <c r="A17" s="14">
        <v>3515</v>
      </c>
      <c r="B17" s="8" t="inlineStr">
        <is>
          <t>Mohammad Sahid</t>
        </is>
      </c>
      <c r="C17" s="9">
        <v>26</v>
      </c>
      <c r="D17" s="9">
        <v>34</v>
      </c>
      <c r="E17" s="9">
        <v>23</v>
      </c>
      <c r="F17" s="9">
        <v>22</v>
      </c>
      <c r="G17" s="9">
        <v>25</v>
      </c>
      <c r="H17" s="9">
        <v>33</v>
      </c>
      <c r="I17" s="9">
        <f>SUM(C17:H17)</f>
        <v>163</v>
      </c>
      <c r="J17" s="9">
        <f>I17/300*100</f>
        <v>54.333333333333336</v>
      </c>
      <c r="K17" s="4" t="s">
        <f>IF(MIN(C17:H17)&gt;17,"Pass","Fail")</f>
        <v>7</v>
      </c>
    </row>
    <row r="18" spans="1:11" customHeight="1" ht="21.95">
      <c r="A18" s="14">
        <v>3516</v>
      </c>
      <c r="B18" s="8" t="inlineStr">
        <is>
          <t>Nichal Maharaji</t>
        </is>
      </c>
      <c r="C18" s="9">
        <v>37</v>
      </c>
      <c r="D18" s="9">
        <v>43</v>
      </c>
      <c r="E18" s="9">
        <v>43</v>
      </c>
      <c r="F18" s="9">
        <v>45</v>
      </c>
      <c r="G18" s="9">
        <v>40</v>
      </c>
      <c r="H18" s="9">
        <v>48</v>
      </c>
      <c r="I18" s="9">
        <f>SUM(C18:H18)</f>
        <v>256</v>
      </c>
      <c r="J18" s="9">
        <f>I18/300*100</f>
        <v>85.333333333333343</v>
      </c>
      <c r="K18" s="4" t="s">
        <f>IF(MIN(C18:H18)&gt;17,"Pass","Fail")</f>
        <v>7</v>
      </c>
    </row>
    <row r="19" spans="1:11" customHeight="1" ht="21.95">
      <c r="A19" s="14">
        <v>3517</v>
      </c>
      <c r="B19" s="8" t="inlineStr">
        <is>
          <t>Om Tamrakar</t>
        </is>
      </c>
      <c r="C19" s="9">
        <v>24</v>
      </c>
      <c r="D19" s="9">
        <v>35</v>
      </c>
      <c r="E19" s="9">
        <v>18</v>
      </c>
      <c r="F19" s="9">
        <v>1</v>
      </c>
      <c r="G19" s="9">
        <v>7</v>
      </c>
      <c r="H19" s="9">
        <v>41</v>
      </c>
      <c r="I19" s="9">
        <f>SUM(C19:H19)</f>
        <v>126</v>
      </c>
      <c r="J19" s="9">
        <f>I19/300*100</f>
        <v>42</v>
      </c>
      <c r="K19" s="4" t="s">
        <f>IF(MIN(C19:H19)&gt;17,"Pass","Fail")</f>
        <v>8</v>
      </c>
    </row>
    <row r="20" spans="1:11" customHeight="1" ht="21.95">
      <c r="A20" s="14">
        <v>3518</v>
      </c>
      <c r="B20" s="8" t="inlineStr">
        <is>
          <t>Pragya Bhattarai</t>
        </is>
      </c>
      <c r="C20" s="9">
        <v>34</v>
      </c>
      <c r="D20" s="9">
        <v>37</v>
      </c>
      <c r="E20" s="9">
        <v>37</v>
      </c>
      <c r="F20" s="9">
        <v>37</v>
      </c>
      <c r="G20" s="9">
        <v>28</v>
      </c>
      <c r="H20" s="9">
        <v>48</v>
      </c>
      <c r="I20" s="9">
        <f>SUM(C20:H20)</f>
        <v>221</v>
      </c>
      <c r="J20" s="9">
        <f>I20/300*100</f>
        <v>73.666666666666671</v>
      </c>
      <c r="K20" s="4" t="s">
        <f>IF(MIN(C20:H20)&gt;17,"Pass","Fail")</f>
        <v>7</v>
      </c>
    </row>
    <row r="21" spans="1:11" customHeight="1" ht="21.95">
      <c r="A21" s="14">
        <v>3519</v>
      </c>
      <c r="B21" s="8" t="inlineStr">
        <is>
          <t>Pragyan Adhikari</t>
        </is>
      </c>
      <c r="C21" s="9">
        <v>18</v>
      </c>
      <c r="D21" s="9">
        <v>20</v>
      </c>
      <c r="E21" s="9">
        <v>13</v>
      </c>
      <c r="F21" s="9">
        <v>18</v>
      </c>
      <c r="G21" s="9">
        <v>4</v>
      </c>
      <c r="H21" s="9">
        <v>35</v>
      </c>
      <c r="I21" s="9">
        <f>SUM(C21:H21)</f>
        <v>108</v>
      </c>
      <c r="J21" s="9">
        <f>I21/300*100</f>
        <v>36</v>
      </c>
      <c r="K21" s="4" t="s">
        <f>IF(MIN(C21:H21)&gt;17,"Pass","Fail")</f>
        <v>8</v>
      </c>
    </row>
    <row r="22" spans="1:11" customHeight="1" ht="21.95">
      <c r="A22" s="14">
        <v>3520</v>
      </c>
      <c r="B22" s="8" t="inlineStr">
        <is>
          <t>Prakriti Rai</t>
        </is>
      </c>
      <c r="C22" s="9">
        <v>18</v>
      </c>
      <c r="D22" s="9">
        <v>30</v>
      </c>
      <c r="E22" s="9">
        <v>11</v>
      </c>
      <c r="F22" s="9">
        <v>3</v>
      </c>
      <c r="G22" s="9">
        <v>3</v>
      </c>
      <c r="H22" s="9">
        <v>40</v>
      </c>
      <c r="I22" s="9">
        <f>SUM(C22:H22)</f>
        <v>105</v>
      </c>
      <c r="J22" s="9">
        <f>I22/300*100</f>
        <v>35</v>
      </c>
      <c r="K22" s="4" t="s">
        <f>IF(MIN(C22:H22)&gt;17,"Pass","Fail")</f>
        <v>8</v>
      </c>
    </row>
    <row r="23" spans="1:11" customHeight="1" ht="21.95">
      <c r="A23" s="14">
        <v>3521</v>
      </c>
      <c r="B23" s="8" t="inlineStr">
        <is>
          <t>Pratham Bhattarai</t>
        </is>
      </c>
      <c r="C23" s="9">
        <v>28</v>
      </c>
      <c r="D23" s="9">
        <v>37</v>
      </c>
      <c r="E23" s="9">
        <v>33</v>
      </c>
      <c r="F23" s="9">
        <v>20</v>
      </c>
      <c r="G23" s="9">
        <v>39</v>
      </c>
      <c r="H23" s="9">
        <v>47</v>
      </c>
      <c r="I23" s="9">
        <f>SUM(C23:H23)</f>
        <v>204</v>
      </c>
      <c r="J23" s="9">
        <f>I23/300*100</f>
        <v>68</v>
      </c>
      <c r="K23" s="4" t="s">
        <f>IF(MIN(C23:H23)&gt;17,"Pass","Fail")</f>
        <v>7</v>
      </c>
    </row>
    <row r="24" spans="1:11" customHeight="1" ht="21.95">
      <c r="A24" s="14">
        <v>3522</v>
      </c>
      <c r="B24" s="8" t="inlineStr">
        <is>
          <t>Pratik Khadka</t>
        </is>
      </c>
      <c r="C24" s="9">
        <v>25</v>
      </c>
      <c r="D24" s="9">
        <v>39</v>
      </c>
      <c r="E24" s="9">
        <v>21</v>
      </c>
      <c r="F24" s="9">
        <v>18</v>
      </c>
      <c r="G24" s="9">
        <v>10</v>
      </c>
      <c r="H24" s="9">
        <v>43</v>
      </c>
      <c r="I24" s="9">
        <f>SUM(C24:H24)</f>
        <v>156</v>
      </c>
      <c r="J24" s="9">
        <f>I24/300*100</f>
        <v>52</v>
      </c>
      <c r="K24" s="4" t="s">
        <f>IF(MIN(C24:H24)&gt;17,"Pass","Fail")</f>
        <v>8</v>
      </c>
    </row>
    <row r="25" spans="1:11" customHeight="1" ht="21.95">
      <c r="A25" s="14">
        <v>3523</v>
      </c>
      <c r="B25" s="8" t="inlineStr">
        <is>
          <t>Pujan Magar</t>
        </is>
      </c>
      <c r="C25" s="9">
        <v>28</v>
      </c>
      <c r="D25" s="9">
        <v>35</v>
      </c>
      <c r="E25" s="9">
        <v>20</v>
      </c>
      <c r="F25" s="9">
        <v>18</v>
      </c>
      <c r="G25" s="9">
        <v>24</v>
      </c>
      <c r="H25" s="9">
        <v>44</v>
      </c>
      <c r="I25" s="9">
        <f>SUM(C25:H25)</f>
        <v>169</v>
      </c>
      <c r="J25" s="9">
        <f>I25/300*100</f>
        <v>56.333333333333336</v>
      </c>
      <c r="K25" s="4" t="s">
        <f>IF(MIN(C25:H25)&gt;17,"Pass","Fail")</f>
        <v>7</v>
      </c>
    </row>
    <row r="26" spans="1:11" customHeight="1" ht="21.95">
      <c r="A26" s="14">
        <v>3524</v>
      </c>
      <c r="B26" s="8" t="inlineStr">
        <is>
          <t>Raj Shrestha</t>
        </is>
      </c>
      <c r="C26" s="9">
        <v>32</v>
      </c>
      <c r="D26" s="9">
        <v>32</v>
      </c>
      <c r="E26" s="9">
        <v>24</v>
      </c>
      <c r="F26" s="9">
        <v>29</v>
      </c>
      <c r="G26" s="9">
        <v>29</v>
      </c>
      <c r="H26" s="9">
        <v>46</v>
      </c>
      <c r="I26" s="9">
        <f>SUM(C26:H26)</f>
        <v>192</v>
      </c>
      <c r="J26" s="9">
        <f>I26/300*100</f>
        <v>64</v>
      </c>
      <c r="K26" s="4" t="s">
        <f>IF(MIN(C26:H26)&gt;17,"Pass","Fail")</f>
        <v>7</v>
      </c>
    </row>
    <row r="27" spans="1:11" customHeight="1" ht="21.95">
      <c r="A27" s="14">
        <v>3525</v>
      </c>
      <c r="B27" s="8" t="inlineStr">
        <is>
          <t>Resal Shrestha</t>
        </is>
      </c>
      <c r="C27" s="9">
        <v>25</v>
      </c>
      <c r="D27" s="9">
        <v>35</v>
      </c>
      <c r="E27" s="9">
        <v>25</v>
      </c>
      <c r="F27" s="9">
        <v>31</v>
      </c>
      <c r="G27" s="9">
        <v>30</v>
      </c>
      <c r="H27" s="9">
        <v>42</v>
      </c>
      <c r="I27" s="9">
        <f>SUM(C27:H27)</f>
        <v>188</v>
      </c>
      <c r="J27" s="9">
        <f>I27/300*100</f>
        <v>62.666666666666671</v>
      </c>
      <c r="K27" s="4" t="s">
        <f>IF(MIN(C27:H27)&gt;17,"Pass","Fail")</f>
        <v>7</v>
      </c>
    </row>
    <row r="28" spans="1:11" customHeight="1" ht="21.95">
      <c r="A28" s="14">
        <v>3526</v>
      </c>
      <c r="B28" s="8" t="inlineStr">
        <is>
          <t>Rohan Jaiswal</t>
        </is>
      </c>
      <c r="C28" s="9">
        <v>31</v>
      </c>
      <c r="D28" s="9">
        <v>31</v>
      </c>
      <c r="E28" s="9">
        <v>32</v>
      </c>
      <c r="F28" s="9">
        <v>29</v>
      </c>
      <c r="G28" s="9">
        <v>34</v>
      </c>
      <c r="H28" s="9">
        <v>44</v>
      </c>
      <c r="I28" s="9">
        <f>SUM(C28:H28)</f>
        <v>201</v>
      </c>
      <c r="J28" s="9">
        <f>I28/300*100</f>
        <v>67</v>
      </c>
      <c r="K28" s="4" t="s">
        <f>IF(MIN(C28:H28)&gt;17,"Pass","Fail")</f>
        <v>7</v>
      </c>
    </row>
    <row r="29" spans="1:11" customHeight="1" ht="21.95">
      <c r="A29" s="14">
        <v>3527</v>
      </c>
      <c r="B29" s="8" t="inlineStr">
        <is>
          <t>Rupak Rana Magar</t>
        </is>
      </c>
      <c r="C29" s="9">
        <v>28</v>
      </c>
      <c r="D29" s="9">
        <v>29</v>
      </c>
      <c r="E29" s="9">
        <v>27</v>
      </c>
      <c r="F29" s="9">
        <v>32</v>
      </c>
      <c r="G29" s="9">
        <v>29</v>
      </c>
      <c r="H29" s="9">
        <v>44</v>
      </c>
      <c r="I29" s="9">
        <f>SUM(C29:H29)</f>
        <v>189</v>
      </c>
      <c r="J29" s="9">
        <f>I29/300*100</f>
        <v>63</v>
      </c>
      <c r="K29" s="4" t="s">
        <f>IF(MIN(C29:H29)&gt;17,"Pass","Fail")</f>
        <v>7</v>
      </c>
    </row>
    <row r="30" spans="1:11" customHeight="1" ht="21.95">
      <c r="A30" s="14">
        <v>3528</v>
      </c>
      <c r="B30" s="8" t="inlineStr">
        <is>
          <t>Ryan Acharya</t>
        </is>
      </c>
      <c r="C30" s="9">
        <v>32</v>
      </c>
      <c r="D30" s="9">
        <v>37</v>
      </c>
      <c r="E30" s="9">
        <v>20</v>
      </c>
      <c r="F30" s="9">
        <v>18</v>
      </c>
      <c r="G30" s="9">
        <v>22</v>
      </c>
      <c r="H30" s="9">
        <v>41</v>
      </c>
      <c r="I30" s="9">
        <f>SUM(C30:H30)</f>
        <v>170</v>
      </c>
      <c r="J30" s="9">
        <f>I30/300*100</f>
        <v>56.666666666666664</v>
      </c>
      <c r="K30" s="4" t="s">
        <f>IF(MIN(C30:H30)&gt;17,"Pass","Fail")</f>
        <v>7</v>
      </c>
    </row>
    <row r="31" spans="1:11" customHeight="1" ht="21.95">
      <c r="A31" s="14">
        <v>3529</v>
      </c>
      <c r="B31" s="8" t="inlineStr">
        <is>
          <t>Sagar Dahal</t>
        </is>
      </c>
      <c r="C31" s="9">
        <v>26</v>
      </c>
      <c r="D31" s="9">
        <v>35</v>
      </c>
      <c r="E31" s="9">
        <v>24</v>
      </c>
      <c r="F31" s="9">
        <v>20</v>
      </c>
      <c r="G31" s="9">
        <v>14</v>
      </c>
      <c r="H31" s="9">
        <v>37</v>
      </c>
      <c r="I31" s="9">
        <f>SUM(C31:H31)</f>
        <v>156</v>
      </c>
      <c r="J31" s="9">
        <f>I31/300*100</f>
        <v>52</v>
      </c>
      <c r="K31" s="4" t="s">
        <f>IF(MIN(C31:H31)&gt;17,"Pass","Fail")</f>
        <v>8</v>
      </c>
    </row>
    <row r="32" spans="1:11" customHeight="1" ht="21.95">
      <c r="A32" s="14">
        <v>3530</v>
      </c>
      <c r="B32" s="8" t="inlineStr">
        <is>
          <t>Saimon Lama</t>
        </is>
      </c>
      <c r="C32" s="9">
        <v>19</v>
      </c>
      <c r="D32" s="9">
        <v>26</v>
      </c>
      <c r="E32" s="9">
        <v>7</v>
      </c>
      <c r="F32" s="9">
        <v>13</v>
      </c>
      <c r="G32" s="9">
        <v>7</v>
      </c>
      <c r="H32" s="9">
        <v>38</v>
      </c>
      <c r="I32" s="9">
        <f>SUM(C32:H32)</f>
        <v>110</v>
      </c>
      <c r="J32" s="9">
        <f>I32/300*100</f>
        <v>36.666666666666664</v>
      </c>
      <c r="K32" s="4" t="s">
        <f>IF(MIN(C32:H32)&gt;17,"Pass","Fail")</f>
        <v>8</v>
      </c>
    </row>
    <row r="33" spans="1:11" customHeight="1" ht="21.95">
      <c r="A33" s="14">
        <v>3531</v>
      </c>
      <c r="B33" s="8" t="inlineStr">
        <is>
          <t>Samriddi Phuyal</t>
        </is>
      </c>
      <c r="C33" s="9">
        <v>30</v>
      </c>
      <c r="D33" s="9">
        <v>39</v>
      </c>
      <c r="E33" s="9">
        <v>28</v>
      </c>
      <c r="F33" s="9">
        <v>23</v>
      </c>
      <c r="G33" s="9">
        <v>29</v>
      </c>
      <c r="H33" s="9">
        <v>40</v>
      </c>
      <c r="I33" s="9">
        <f>SUM(C33:H33)</f>
        <v>189</v>
      </c>
      <c r="J33" s="9">
        <f>I33/300*100</f>
        <v>63</v>
      </c>
      <c r="K33" s="4" t="s">
        <f>IF(MIN(C33:H33)&gt;17,"Pass","Fail")</f>
        <v>7</v>
      </c>
    </row>
    <row r="34" spans="1:11" customHeight="1" ht="21.95">
      <c r="A34" s="14">
        <v>3532</v>
      </c>
      <c r="B34" s="8" t="inlineStr">
        <is>
          <t>Samyog Rai</t>
        </is>
      </c>
      <c r="C34" s="9">
        <v>31</v>
      </c>
      <c r="D34" s="9">
        <v>37</v>
      </c>
      <c r="E34" s="9">
        <v>28</v>
      </c>
      <c r="F34" s="9">
        <v>24</v>
      </c>
      <c r="G34" s="9">
        <v>20</v>
      </c>
      <c r="H34" s="9">
        <v>40</v>
      </c>
      <c r="I34" s="9">
        <f>SUM(C34:H34)</f>
        <v>180</v>
      </c>
      <c r="J34" s="9">
        <f>I34/300*100</f>
        <v>60</v>
      </c>
      <c r="K34" s="4" t="s">
        <f>IF(MIN(C34:H34)&gt;17,"Pass","Fail")</f>
        <v>7</v>
      </c>
    </row>
    <row r="35" spans="1:11" customHeight="1" ht="21.95">
      <c r="A35" s="14">
        <v>3533</v>
      </c>
      <c r="B35" s="8" t="inlineStr">
        <is>
          <t>Sandip Karki</t>
        </is>
      </c>
      <c r="C35" s="9">
        <v>30</v>
      </c>
      <c r="D35" s="9">
        <v>22</v>
      </c>
      <c r="E35" s="9">
        <v>10</v>
      </c>
      <c r="F35" s="9">
        <v>13</v>
      </c>
      <c r="G35" s="9">
        <v>7</v>
      </c>
      <c r="H35" s="9">
        <v>37</v>
      </c>
      <c r="I35" s="9">
        <f>SUM(C35:H35)</f>
        <v>119</v>
      </c>
      <c r="J35" s="9">
        <f>I35/300*100</f>
        <v>39.666666666666664</v>
      </c>
      <c r="K35" s="4" t="s">
        <f>IF(MIN(C35:H35)&gt;17,"Pass","Fail")</f>
        <v>8</v>
      </c>
    </row>
    <row r="36" spans="1:11" customHeight="1" ht="21.95">
      <c r="A36" s="14">
        <v>3534</v>
      </c>
      <c r="B36" s="8" t="inlineStr">
        <is>
          <t>Sangam Luitel</t>
        </is>
      </c>
      <c r="C36" s="9">
        <v>30</v>
      </c>
      <c r="D36" s="9">
        <v>27</v>
      </c>
      <c r="E36" s="9">
        <v>26</v>
      </c>
      <c r="F36" s="9">
        <v>18</v>
      </c>
      <c r="G36" s="9">
        <v>12</v>
      </c>
      <c r="H36" s="9">
        <v>40</v>
      </c>
      <c r="I36" s="9">
        <f>SUM(C36:H36)</f>
        <v>153</v>
      </c>
      <c r="J36" s="9">
        <f>I36/300*100</f>
        <v>51</v>
      </c>
      <c r="K36" s="4" t="s">
        <f>IF(MIN(C36:H36)&gt;17,"Pass","Fail")</f>
        <v>8</v>
      </c>
    </row>
    <row r="37" spans="1:11" customHeight="1" ht="21.95">
      <c r="A37" s="14">
        <v>3535</v>
      </c>
      <c r="B37" s="8" t="inlineStr">
        <is>
          <t>Sanim Basnet</t>
        </is>
      </c>
      <c r="C37" s="9">
        <v>37</v>
      </c>
      <c r="D37" s="9">
        <v>35</v>
      </c>
      <c r="E37" s="9">
        <v>32</v>
      </c>
      <c r="F37" s="9">
        <v>24</v>
      </c>
      <c r="G37" s="9">
        <v>29</v>
      </c>
      <c r="H37" s="9">
        <v>41</v>
      </c>
      <c r="I37" s="9">
        <f>SUM(C37:H37)</f>
        <v>198</v>
      </c>
      <c r="J37" s="9">
        <f>I37/300*100</f>
        <v>66</v>
      </c>
      <c r="K37" s="4" t="s">
        <f>IF(MIN(C37:H37)&gt;17,"Pass","Fail")</f>
        <v>7</v>
      </c>
    </row>
    <row r="38" spans="1:11" customHeight="1" ht="21.95">
      <c r="A38" s="14">
        <v>3536</v>
      </c>
      <c r="B38" s="8" t="inlineStr">
        <is>
          <t>Saroj Nepal</t>
        </is>
      </c>
      <c r="C38" s="9">
        <v>30</v>
      </c>
      <c r="D38" s="9">
        <v>42</v>
      </c>
      <c r="E38" s="9">
        <v>38</v>
      </c>
      <c r="F38" s="9">
        <v>30</v>
      </c>
      <c r="G38" s="9">
        <v>29</v>
      </c>
      <c r="H38" s="9">
        <v>47</v>
      </c>
      <c r="I38" s="9">
        <f>SUM(C38:H38)</f>
        <v>216</v>
      </c>
      <c r="J38" s="9">
        <f>I38/300*100</f>
        <v>72</v>
      </c>
      <c r="K38" s="4" t="s">
        <f>IF(MIN(C38:H38)&gt;17,"Pass","Fail")</f>
        <v>7</v>
      </c>
    </row>
    <row r="39" spans="1:11" customHeight="1" ht="21.95">
      <c r="A39" s="14">
        <v>3537</v>
      </c>
      <c r="B39" s="8" t="inlineStr">
        <is>
          <t>Shital Bohora</t>
        </is>
      </c>
      <c r="C39" s="9">
        <v>24</v>
      </c>
      <c r="D39" s="9">
        <v>23</v>
      </c>
      <c r="E39" s="9">
        <v>13</v>
      </c>
      <c r="F39" s="9">
        <v>9</v>
      </c>
      <c r="G39" s="9">
        <v>15</v>
      </c>
      <c r="H39" s="9">
        <v>43</v>
      </c>
      <c r="I39" s="9">
        <f>SUM(C39:H39)</f>
        <v>127</v>
      </c>
      <c r="J39" s="9">
        <f>I39/300*100</f>
        <v>42.333333333333336</v>
      </c>
      <c r="K39" s="4" t="s">
        <f>IF(MIN(C39:H39)&gt;17,"Pass","Fail")</f>
        <v>8</v>
      </c>
    </row>
    <row r="40" spans="1:11" customHeight="1" ht="21.95">
      <c r="A40" s="14">
        <v>3538</v>
      </c>
      <c r="B40" s="8" t="inlineStr">
        <is>
          <t>Sisek Hang Maden</t>
        </is>
      </c>
      <c r="C40" s="9">
        <v>34</v>
      </c>
      <c r="D40" s="9">
        <v>41</v>
      </c>
      <c r="E40" s="9">
        <v>38</v>
      </c>
      <c r="F40" s="9">
        <v>40</v>
      </c>
      <c r="G40" s="9">
        <v>35</v>
      </c>
      <c r="H40" s="9">
        <v>41</v>
      </c>
      <c r="I40" s="9">
        <f>SUM(C40:H40)</f>
        <v>229</v>
      </c>
      <c r="J40" s="9">
        <f>I40/300*100</f>
        <v>76.333333333333329</v>
      </c>
      <c r="K40" s="4" t="s">
        <f>IF(MIN(C40:H40)&gt;17,"Pass","Fail")</f>
        <v>7</v>
      </c>
    </row>
    <row r="41" spans="1:11" customHeight="1" ht="21.95">
      <c r="A41" s="14">
        <v>3539</v>
      </c>
      <c r="B41" s="8" t="inlineStr">
        <is>
          <t>Subash Raut</t>
        </is>
      </c>
      <c r="C41" s="9">
        <v>23</v>
      </c>
      <c r="D41" s="9">
        <v>30</v>
      </c>
      <c r="E41" s="9">
        <v>20</v>
      </c>
      <c r="F41" s="9">
        <v>20</v>
      </c>
      <c r="G41" s="9">
        <v>16</v>
      </c>
      <c r="H41" s="9">
        <v>38</v>
      </c>
      <c r="I41" s="9">
        <f>SUM(C41:H41)</f>
        <v>147</v>
      </c>
      <c r="J41" s="9">
        <f>I41/300*100</f>
        <v>49</v>
      </c>
      <c r="K41" s="4" t="s">
        <f>IF(MIN(C41:H41)&gt;17,"Pass","Fail")</f>
        <v>8</v>
      </c>
    </row>
    <row r="42" spans="1:11" customHeight="1" ht="21.95">
      <c r="A42" s="14">
        <v>3540</v>
      </c>
      <c r="B42" s="8" t="inlineStr">
        <is>
          <t>Sudip Katwal</t>
        </is>
      </c>
      <c r="C42" s="9">
        <v>42</v>
      </c>
      <c r="D42" s="9">
        <v>41</v>
      </c>
      <c r="E42" s="9">
        <v>46</v>
      </c>
      <c r="F42" s="9">
        <v>41</v>
      </c>
      <c r="G42" s="9">
        <v>37</v>
      </c>
      <c r="H42" s="9">
        <v>46</v>
      </c>
      <c r="I42" s="9">
        <f>SUM(C42:H42)</f>
        <v>253</v>
      </c>
      <c r="J42" s="9">
        <f>I42/300*100</f>
        <v>84.333333333333343</v>
      </c>
      <c r="K42" s="4" t="s">
        <f>IF(MIN(C42:H42)&gt;17,"Pass","Fail")</f>
        <v>7</v>
      </c>
    </row>
    <row r="43" spans="1:11" customHeight="1" ht="21.95">
      <c r="A43" s="14">
        <v>3541</v>
      </c>
      <c r="B43" s="8" t="inlineStr">
        <is>
          <t>Suhani Khadka</t>
        </is>
      </c>
      <c r="C43" s="9">
        <v>27</v>
      </c>
      <c r="D43" s="9">
        <v>32</v>
      </c>
      <c r="E43" s="9">
        <v>25</v>
      </c>
      <c r="F43" s="9">
        <v>19</v>
      </c>
      <c r="G43" s="9">
        <v>18</v>
      </c>
      <c r="H43" s="9">
        <v>35</v>
      </c>
      <c r="I43" s="9">
        <f>SUM(C43:H43)</f>
        <v>156</v>
      </c>
      <c r="J43" s="9">
        <f>I43/300*100</f>
        <v>52</v>
      </c>
      <c r="K43" s="4" t="s">
        <f>IF(MIN(C43:H43)&gt;17,"Pass","Fail")</f>
        <v>7</v>
      </c>
    </row>
    <row r="44" spans="1:11" customHeight="1" ht="21.95">
      <c r="A44" s="14">
        <v>3542</v>
      </c>
      <c r="B44" s="8" t="inlineStr">
        <is>
          <t>Sujal B.K</t>
        </is>
      </c>
      <c r="C44" s="9">
        <v>27</v>
      </c>
      <c r="D44" s="9">
        <v>38</v>
      </c>
      <c r="E44" s="9">
        <v>30</v>
      </c>
      <c r="F44" s="9">
        <v>19</v>
      </c>
      <c r="G44" s="9">
        <v>21</v>
      </c>
      <c r="H44" s="9">
        <v>43</v>
      </c>
      <c r="I44" s="9">
        <f>SUM(C44:H44)</f>
        <v>178</v>
      </c>
      <c r="J44" s="9">
        <f>I44/300*100</f>
        <v>59.333333333333336</v>
      </c>
      <c r="K44" s="4" t="s">
        <f>IF(MIN(C44:H44)&gt;17,"Pass","Fail")</f>
        <v>7</v>
      </c>
    </row>
    <row r="45" spans="1:11" customHeight="1" ht="21.95">
      <c r="A45" s="14">
        <v>3543</v>
      </c>
      <c r="B45" s="8" t="inlineStr">
        <is>
          <t>Sujata Basnet</t>
        </is>
      </c>
      <c r="C45" s="9">
        <v>31</v>
      </c>
      <c r="D45" s="9">
        <v>38</v>
      </c>
      <c r="E45" s="9">
        <v>31</v>
      </c>
      <c r="F45" s="9">
        <v>24</v>
      </c>
      <c r="G45" s="9">
        <v>22</v>
      </c>
      <c r="H45" s="9">
        <v>44</v>
      </c>
      <c r="I45" s="9">
        <f>SUM(C45:H45)</f>
        <v>190</v>
      </c>
      <c r="J45" s="9">
        <f>I45/300*100</f>
        <v>63.333333333333329</v>
      </c>
      <c r="K45" s="4" t="s">
        <f>IF(MIN(C45:H45)&gt;17,"Pass","Fail")</f>
        <v>7</v>
      </c>
    </row>
    <row r="46" spans="1:11" customHeight="1" ht="21.95">
      <c r="A46" s="14">
        <v>3544</v>
      </c>
      <c r="B46" s="8" t="inlineStr">
        <is>
          <t>Sulove Karki</t>
        </is>
      </c>
      <c r="C46" s="9">
        <v>31</v>
      </c>
      <c r="D46" s="9">
        <v>38</v>
      </c>
      <c r="E46" s="9">
        <v>27</v>
      </c>
      <c r="F46" s="9">
        <v>28</v>
      </c>
      <c r="G46" s="9">
        <v>21</v>
      </c>
      <c r="H46" s="9">
        <v>49</v>
      </c>
      <c r="I46" s="9">
        <f>SUM(C46:H46)</f>
        <v>194</v>
      </c>
      <c r="J46" s="9">
        <f>I46/300*100</f>
        <v>64.666666666666657</v>
      </c>
      <c r="K46" s="4" t="s">
        <f>IF(MIN(C46:H46)&gt;17,"Pass","Fail")</f>
        <v>7</v>
      </c>
    </row>
    <row r="47" spans="1:11" customHeight="1" ht="21.95">
      <c r="A47" s="14">
        <v>3545</v>
      </c>
      <c r="B47" s="8" t="inlineStr">
        <is>
          <t>Sushant Shrestha</t>
        </is>
      </c>
      <c r="C47" s="9">
        <v>18</v>
      </c>
      <c r="D47" s="9">
        <v>22</v>
      </c>
      <c r="E47" s="9">
        <v>14</v>
      </c>
      <c r="F47" s="9">
        <v>18</v>
      </c>
      <c r="G47" s="9">
        <v>2</v>
      </c>
      <c r="H47" s="9">
        <v>46</v>
      </c>
      <c r="I47" s="9">
        <f>SUM(C47:H47)</f>
        <v>120</v>
      </c>
      <c r="J47" s="9">
        <f>I47/300*100</f>
        <v>40</v>
      </c>
      <c r="K47" s="4" t="s">
        <f>IF(MIN(C47:H47)&gt;17,"Pass","Fail")</f>
        <v>8</v>
      </c>
    </row>
    <row r="48" spans="1:11" customHeight="1" ht="21.95">
      <c r="A48" s="14">
        <v>3546</v>
      </c>
      <c r="B48" s="8" t="inlineStr">
        <is>
          <t>Sushila Shrestha</t>
        </is>
      </c>
      <c r="C48" s="9">
        <v>32</v>
      </c>
      <c r="D48" s="9">
        <v>41</v>
      </c>
      <c r="E48" s="9">
        <v>30</v>
      </c>
      <c r="F48" s="9">
        <v>38</v>
      </c>
      <c r="G48" s="9">
        <v>34</v>
      </c>
      <c r="H48" s="9">
        <v>49</v>
      </c>
      <c r="I48" s="9">
        <f>SUM(C48:H48)</f>
        <v>224</v>
      </c>
      <c r="J48" s="9">
        <f>I48/300*100</f>
        <v>74.666666666666671</v>
      </c>
      <c r="K48" s="4" t="s">
        <f>IF(MIN(C48:H48)&gt;17,"Pass","Fail")</f>
        <v>7</v>
      </c>
    </row>
    <row r="49" spans="1:11" customHeight="1" ht="21.95">
      <c r="A49" s="14">
        <v>3547</v>
      </c>
      <c r="B49" s="8" t="inlineStr">
        <is>
          <t>Swarnim Karki</t>
        </is>
      </c>
      <c r="C49" s="9">
        <v>35</v>
      </c>
      <c r="D49" s="9">
        <v>39</v>
      </c>
      <c r="E49" s="9">
        <v>39</v>
      </c>
      <c r="F49" s="9">
        <v>27</v>
      </c>
      <c r="G49" s="9">
        <v>42</v>
      </c>
      <c r="H49" s="9">
        <v>42</v>
      </c>
      <c r="I49" s="9">
        <f>SUM(C49:H49)</f>
        <v>224</v>
      </c>
      <c r="J49" s="9">
        <f>I49/300*100</f>
        <v>74.666666666666671</v>
      </c>
      <c r="K49" s="4" t="s">
        <f>IF(MIN(C49:H49)&gt;17,"Pass","Fail")</f>
        <v>7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orientation="portrait" pageOrder="downThenOver" paperSize="9" scale="100" useFirstPageNumber="0"/>
  <headerFooter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K50"/>
  <sheetViews>
    <sheetView topLeftCell="A37" workbookViewId="0">
      <selection activeCell="M10" sqref="M10"/>
    </sheetView>
  </sheetViews>
  <sheetFormatPr defaultColWidth="67.5" defaultRowHeight="15"/>
  <cols>
    <col min="1" max="1" style="1" width="5.5703125" bestFit="1" customWidth="1"/>
    <col min="2" max="2" style="1" width="18" bestFit="1" customWidth="1"/>
    <col min="3" max="3" style="1" width="7.140625" bestFit="1" customWidth="1"/>
    <col min="4" max="5" style="1" width="6.140625" bestFit="1" customWidth="1"/>
    <col min="6" max="7" style="1" width="4.28515625" bestFit="1" customWidth="1"/>
    <col min="8" max="8" style="1" width="9" bestFit="1" customWidth="1"/>
    <col min="9" max="9" style="1" width="5" bestFit="1" customWidth="1"/>
    <col min="10" max="10" style="1" width="5.5703125" bestFit="1" customWidth="1"/>
    <col min="11" max="11" style="1" width="8.5703125" bestFit="1" customWidth="1"/>
    <col min="12" max="16384" style="1" width="12.856370192307693"/>
  </cols>
  <sheetData>
    <row r="1" spans="1:11" customHeight="1" ht="21.95">
      <c r="A1" s="2"/>
      <c r="B1" s="3" t="inlineStr">
        <is>
          <t>HIMALAYAN-XI</t>
        </is>
      </c>
      <c r="C1" s="2"/>
      <c r="D1" s="2"/>
      <c r="E1" s="2"/>
      <c r="F1" s="2"/>
      <c r="G1" s="2"/>
      <c r="H1" s="2"/>
      <c r="I1" s="2"/>
      <c r="J1" s="2"/>
      <c r="K1" s="4"/>
    </row>
    <row r="2" spans="1:11" customHeight="1" ht="21.95">
      <c r="A2" s="5" t="s">
        <v>0</v>
      </c>
      <c r="B2" s="5" t="s">
        <v>1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23</v>
      </c>
      <c r="I2" s="6" t="s">
        <v>3</v>
      </c>
      <c r="J2" s="6" t="s">
        <v>4</v>
      </c>
      <c r="K2" s="4" t="s">
        <v>5</v>
      </c>
    </row>
    <row r="3" spans="1:11" customHeight="1" ht="21.95">
      <c r="A3" s="14">
        <v>3601</v>
      </c>
      <c r="B3" s="12" t="s">
        <v>6</v>
      </c>
      <c r="C3" s="9">
        <v>33</v>
      </c>
      <c r="D3" s="9">
        <v>33</v>
      </c>
      <c r="E3" s="9">
        <v>36</v>
      </c>
      <c r="F3" s="9">
        <v>33</v>
      </c>
      <c r="G3" s="9">
        <v>24</v>
      </c>
      <c r="H3" s="9">
        <v>36</v>
      </c>
      <c r="I3" s="9">
        <f>SUM(C3:H3)</f>
        <v>195</v>
      </c>
      <c r="J3" s="13">
        <f>I3/300*100</f>
        <v>65</v>
      </c>
      <c r="K3" s="4" t="s">
        <f>IF(MIN(C3:H3)&gt;17,"Pass","Fail")</f>
        <v>7</v>
      </c>
    </row>
    <row r="4" spans="1:11" customHeight="1" ht="21.95">
      <c r="A4" s="14">
        <v>3602</v>
      </c>
      <c r="B4" s="12" t="inlineStr">
        <is>
          <t>Aaryan Chaudhary</t>
        </is>
      </c>
      <c r="C4" s="9">
        <v>18</v>
      </c>
      <c r="D4" s="9">
        <v>9</v>
      </c>
      <c r="E4" s="9">
        <v>10</v>
      </c>
      <c r="F4" s="9">
        <v>18</v>
      </c>
      <c r="G4" s="9">
        <v>9</v>
      </c>
      <c r="H4" s="9">
        <v>23</v>
      </c>
      <c r="I4" s="9">
        <f>SUM(C4:H4)</f>
        <v>87</v>
      </c>
      <c r="J4" s="13">
        <f>I4/300*100</f>
        <v>28.999999999999996</v>
      </c>
      <c r="K4" s="4" t="s">
        <f>IF(MIN(C4:H4)&gt;17,"Pass","Fail")</f>
        <v>8</v>
      </c>
    </row>
    <row r="5" spans="1:11" customHeight="1" ht="21.95">
      <c r="A5" s="14">
        <v>3603</v>
      </c>
      <c r="B5" s="12" t="inlineStr">
        <is>
          <t>Abijal Kladka</t>
        </is>
      </c>
      <c r="C5" s="9">
        <v>30</v>
      </c>
      <c r="D5" s="9">
        <v>30</v>
      </c>
      <c r="E5" s="9">
        <v>26</v>
      </c>
      <c r="F5" s="9">
        <v>20</v>
      </c>
      <c r="G5" s="9">
        <v>18</v>
      </c>
      <c r="H5" s="9">
        <v>43</v>
      </c>
      <c r="I5" s="9">
        <f>SUM(C5:H5)</f>
        <v>167</v>
      </c>
      <c r="J5" s="13">
        <f>I5/300*100</f>
        <v>55.666666666666664</v>
      </c>
      <c r="K5" s="4" t="s">
        <f>IF(MIN(C5:H5)&gt;17,"Pass","Fail")</f>
        <v>7</v>
      </c>
    </row>
    <row r="6" spans="1:11" customHeight="1" ht="21.95">
      <c r="A6" s="14">
        <v>3604</v>
      </c>
      <c r="B6" s="12" t="inlineStr">
        <is>
          <t>Akriti Pokharel</t>
        </is>
      </c>
      <c r="C6" s="9">
        <v>22</v>
      </c>
      <c r="D6" s="9">
        <v>28</v>
      </c>
      <c r="E6" s="9">
        <v>19</v>
      </c>
      <c r="F6" s="9">
        <v>13</v>
      </c>
      <c r="G6" s="9">
        <v>12</v>
      </c>
      <c r="H6" s="9">
        <v>44</v>
      </c>
      <c r="I6" s="9">
        <f>SUM(C6:H6)</f>
        <v>138</v>
      </c>
      <c r="J6" s="13">
        <f>I6/300*100</f>
        <v>46</v>
      </c>
      <c r="K6" s="4" t="s">
        <f>IF(MIN(C6:H6)&gt;17,"Pass","Fail")</f>
        <v>8</v>
      </c>
    </row>
    <row r="7" spans="1:11" customHeight="1" ht="21.95">
      <c r="A7" s="14">
        <v>3605</v>
      </c>
      <c r="B7" s="12" t="inlineStr">
        <is>
          <t>Ankit Parajuli</t>
        </is>
      </c>
      <c r="C7" s="9">
        <v>23</v>
      </c>
      <c r="D7" s="9">
        <v>29</v>
      </c>
      <c r="E7" s="9">
        <v>18</v>
      </c>
      <c r="F7" s="9">
        <v>15</v>
      </c>
      <c r="G7" s="9">
        <v>13</v>
      </c>
      <c r="H7" s="9">
        <v>41</v>
      </c>
      <c r="I7" s="9">
        <f>SUM(C7:H7)</f>
        <v>139</v>
      </c>
      <c r="J7" s="13">
        <f>I7/300*100</f>
        <v>46.333333333333329</v>
      </c>
      <c r="K7" s="4" t="s">
        <f>IF(MIN(C7:H7)&gt;17,"Pass","Fail")</f>
        <v>8</v>
      </c>
    </row>
    <row r="8" spans="1:11" customHeight="1" ht="21.95">
      <c r="A8" s="14">
        <v>3606</v>
      </c>
      <c r="B8" s="12" t="inlineStr">
        <is>
          <t>Anuska Khadka</t>
        </is>
      </c>
      <c r="C8" s="9">
        <v>29</v>
      </c>
      <c r="D8" s="9">
        <v>28</v>
      </c>
      <c r="E8" s="9">
        <v>18</v>
      </c>
      <c r="F8" s="9">
        <v>18</v>
      </c>
      <c r="G8" s="9">
        <v>12</v>
      </c>
      <c r="H8" s="9">
        <v>39</v>
      </c>
      <c r="I8" s="9">
        <f>SUM(C8:H8)</f>
        <v>144</v>
      </c>
      <c r="J8" s="13">
        <f>I8/300*100</f>
        <v>48</v>
      </c>
      <c r="K8" s="4" t="s">
        <f>IF(MIN(C8:H8)&gt;17,"Pass","Fail")</f>
        <v>8</v>
      </c>
    </row>
    <row r="9" spans="1:11" customHeight="1" ht="21.95">
      <c r="A9" s="14">
        <v>3607</v>
      </c>
      <c r="B9" s="12" t="inlineStr">
        <is>
          <t>Apil Limbu</t>
        </is>
      </c>
      <c r="C9" s="9">
        <v>27</v>
      </c>
      <c r="D9" s="9">
        <v>29</v>
      </c>
      <c r="E9" s="9">
        <v>24</v>
      </c>
      <c r="F9" s="9">
        <v>19</v>
      </c>
      <c r="G9" s="9">
        <v>30</v>
      </c>
      <c r="H9" s="9">
        <v>39</v>
      </c>
      <c r="I9" s="9">
        <f>SUM(C9:H9)</f>
        <v>168</v>
      </c>
      <c r="J9" s="13">
        <f>I9/300*100</f>
        <v>56.000000000000007</v>
      </c>
      <c r="K9" s="4" t="s">
        <f>IF(MIN(C9:H9)&gt;17,"Pass","Fail")</f>
        <v>7</v>
      </c>
    </row>
    <row r="10" spans="1:11" customHeight="1" ht="21.95">
      <c r="A10" s="14">
        <v>3608</v>
      </c>
      <c r="B10" s="12" t="inlineStr">
        <is>
          <t>Ashik Dahal</t>
        </is>
      </c>
      <c r="C10" s="9">
        <v>20</v>
      </c>
      <c r="D10" s="9">
        <v>18</v>
      </c>
      <c r="E10" s="9">
        <v>1</v>
      </c>
      <c r="F10" s="9">
        <v>12</v>
      </c>
      <c r="G10" s="9">
        <v>1</v>
      </c>
      <c r="H10" s="9">
        <v>18</v>
      </c>
      <c r="I10" s="9">
        <f>SUM(C10:H10)</f>
        <v>70</v>
      </c>
      <c r="J10" s="13">
        <f>I10/300*100</f>
        <v>23.333333333333332</v>
      </c>
      <c r="K10" s="4" t="s">
        <f>IF(MIN(C10:H10)&gt;17,"Pass","Fail")</f>
        <v>8</v>
      </c>
    </row>
    <row r="11" spans="1:11" customHeight="1" ht="21.95">
      <c r="A11" s="14">
        <v>3609</v>
      </c>
      <c r="B11" s="12" t="inlineStr">
        <is>
          <t>Avishek Khatiwada</t>
        </is>
      </c>
      <c r="C11" s="9">
        <v>36</v>
      </c>
      <c r="D11" s="9">
        <v>42</v>
      </c>
      <c r="E11" s="9">
        <v>45</v>
      </c>
      <c r="F11" s="9">
        <v>48</v>
      </c>
      <c r="G11" s="9">
        <v>43</v>
      </c>
      <c r="H11" s="9">
        <v>49</v>
      </c>
      <c r="I11" s="9">
        <f>SUM(C11:H11)</f>
        <v>263</v>
      </c>
      <c r="J11" s="13">
        <f>I11/300*100</f>
        <v>87.666666666666671</v>
      </c>
      <c r="K11" s="4" t="s">
        <f>IF(MIN(C11:H11)&gt;17,"Pass","Fail")</f>
        <v>7</v>
      </c>
    </row>
    <row r="12" spans="1:11" customHeight="1" ht="21.95">
      <c r="A12" s="14">
        <v>3610</v>
      </c>
      <c r="B12" s="12" t="inlineStr">
        <is>
          <t>Ayug Limbu</t>
        </is>
      </c>
      <c r="C12" s="9">
        <v>27</v>
      </c>
      <c r="D12" s="9">
        <v>36</v>
      </c>
      <c r="E12" s="9">
        <v>35</v>
      </c>
      <c r="F12" s="9">
        <v>39</v>
      </c>
      <c r="G12" s="9">
        <v>33</v>
      </c>
      <c r="H12" s="9">
        <v>38</v>
      </c>
      <c r="I12" s="9">
        <f>SUM(C12:H12)</f>
        <v>208</v>
      </c>
      <c r="J12" s="13">
        <f>I12/300*100</f>
        <v>69.333333333333343</v>
      </c>
      <c r="K12" s="4" t="s">
        <f>IF(MIN(C12:H12)&gt;17,"Pass","Fail")</f>
        <v>7</v>
      </c>
    </row>
    <row r="13" spans="1:11" customHeight="1" ht="21.95">
      <c r="A13" s="14">
        <v>3611</v>
      </c>
      <c r="B13" s="12" t="inlineStr">
        <is>
          <t>Ayush Chaudhary</t>
        </is>
      </c>
      <c r="C13" s="9">
        <v>29</v>
      </c>
      <c r="D13" s="9">
        <v>35</v>
      </c>
      <c r="E13" s="9">
        <v>33</v>
      </c>
      <c r="F13" s="9">
        <v>37</v>
      </c>
      <c r="G13" s="9">
        <v>37</v>
      </c>
      <c r="H13" s="9">
        <v>38</v>
      </c>
      <c r="I13" s="9">
        <f>SUM(C13:H13)</f>
        <v>209</v>
      </c>
      <c r="J13" s="13">
        <f>I13/300*100</f>
        <v>69.666666666666671</v>
      </c>
      <c r="K13" s="4" t="s">
        <f>IF(MIN(C13:H13)&gt;17,"Pass","Fail")</f>
        <v>7</v>
      </c>
    </row>
    <row r="14" spans="1:11" customHeight="1" ht="21.95">
      <c r="A14" s="14">
        <v>3612</v>
      </c>
      <c r="B14" s="12" t="inlineStr">
        <is>
          <t>Chandan Mehta</t>
        </is>
      </c>
      <c r="C14" s="9">
        <v>27</v>
      </c>
      <c r="D14" s="9">
        <v>34</v>
      </c>
      <c r="E14" s="9">
        <v>31</v>
      </c>
      <c r="F14" s="9">
        <v>25</v>
      </c>
      <c r="G14" s="9">
        <v>28</v>
      </c>
      <c r="H14" s="9">
        <v>27</v>
      </c>
      <c r="I14" s="9">
        <f>SUM(C14:H14)</f>
        <v>172</v>
      </c>
      <c r="J14" s="13">
        <f>I14/300*100</f>
        <v>57.333333333333336</v>
      </c>
      <c r="K14" s="4" t="s">
        <f>IF(MIN(C14:H14)&gt;17,"Pass","Fail")</f>
        <v>7</v>
      </c>
    </row>
    <row r="15" spans="1:11" customHeight="1" ht="21.95">
      <c r="A15" s="14">
        <v>3613</v>
      </c>
      <c r="B15" s="12" t="inlineStr">
        <is>
          <t>Denisha Niroula</t>
        </is>
      </c>
      <c r="C15" s="9">
        <v>19</v>
      </c>
      <c r="D15" s="9">
        <v>30</v>
      </c>
      <c r="E15" s="9">
        <v>24</v>
      </c>
      <c r="F15" s="9">
        <v>28</v>
      </c>
      <c r="G15" s="9">
        <v>29</v>
      </c>
      <c r="H15" s="9">
        <v>35</v>
      </c>
      <c r="I15" s="9">
        <f>SUM(C15:H15)</f>
        <v>165</v>
      </c>
      <c r="J15" s="13">
        <f>I15/300*100</f>
        <v>55.000000000000007</v>
      </c>
      <c r="K15" s="4" t="s">
        <f>IF(MIN(C15:H15)&gt;17,"Pass","Fail")</f>
        <v>7</v>
      </c>
    </row>
    <row r="16" spans="1:11" customHeight="1" ht="21.95">
      <c r="A16" s="14">
        <v>3614</v>
      </c>
      <c r="B16" s="12" t="inlineStr">
        <is>
          <t>Dipson Rana Magar</t>
        </is>
      </c>
      <c r="C16" s="9">
        <v>27</v>
      </c>
      <c r="D16" s="9">
        <v>28</v>
      </c>
      <c r="E16" s="9">
        <v>12</v>
      </c>
      <c r="F16" s="9">
        <v>19</v>
      </c>
      <c r="G16" s="9">
        <v>26</v>
      </c>
      <c r="H16" s="9">
        <v>27</v>
      </c>
      <c r="I16" s="9">
        <f>SUM(C16:H16)</f>
        <v>139</v>
      </c>
      <c r="J16" s="13">
        <f>I16/300*100</f>
        <v>46.333333333333329</v>
      </c>
      <c r="K16" s="4" t="s">
        <f>IF(MIN(C16:H16)&gt;17,"Pass","Fail")</f>
        <v>8</v>
      </c>
    </row>
    <row r="17" spans="1:11" customHeight="1" ht="21.95">
      <c r="A17" s="14">
        <v>3615</v>
      </c>
      <c r="B17" s="12" t="inlineStr">
        <is>
          <t>Imol Thapa</t>
        </is>
      </c>
      <c r="C17" s="9">
        <v>24</v>
      </c>
      <c r="D17" s="9">
        <v>33</v>
      </c>
      <c r="E17" s="9">
        <v>35</v>
      </c>
      <c r="F17" s="9">
        <v>30</v>
      </c>
      <c r="G17" s="9">
        <v>24</v>
      </c>
      <c r="H17" s="9">
        <v>36</v>
      </c>
      <c r="I17" s="9">
        <f>SUM(C17:H17)</f>
        <v>182</v>
      </c>
      <c r="J17" s="13">
        <f>I17/300*100</f>
        <v>60.666666666666671</v>
      </c>
      <c r="K17" s="4" t="s">
        <f>IF(MIN(C17:H17)&gt;17,"Pass","Fail")</f>
        <v>7</v>
      </c>
    </row>
    <row r="18" spans="1:11" customHeight="1" ht="21.95">
      <c r="A18" s="14">
        <v>3616</v>
      </c>
      <c r="B18" s="12" t="inlineStr">
        <is>
          <t>Janam Rai</t>
        </is>
      </c>
      <c r="C18" s="9">
        <v>22</v>
      </c>
      <c r="D18" s="9">
        <v>22</v>
      </c>
      <c r="E18" s="9">
        <v>21</v>
      </c>
      <c r="F18" s="9">
        <v>5</v>
      </c>
      <c r="G18" s="9">
        <v>22</v>
      </c>
      <c r="H18" s="9">
        <v>25</v>
      </c>
      <c r="I18" s="9">
        <f>SUM(C18:H18)</f>
        <v>117</v>
      </c>
      <c r="J18" s="13">
        <f>I18/300*100</f>
        <v>39</v>
      </c>
      <c r="K18" s="4" t="s">
        <f>IF(MIN(C18:H18)&gt;17,"Pass","Fail")</f>
        <v>8</v>
      </c>
    </row>
    <row r="19" spans="1:11" customHeight="1" ht="21.95">
      <c r="A19" s="14">
        <v>3617</v>
      </c>
      <c r="B19" s="12" t="inlineStr">
        <is>
          <t>Jaswin Gurung</t>
        </is>
      </c>
      <c r="C19" s="9">
        <v>33</v>
      </c>
      <c r="D19" s="9">
        <v>36</v>
      </c>
      <c r="E19" s="9">
        <v>36</v>
      </c>
      <c r="F19" s="9">
        <v>27</v>
      </c>
      <c r="G19" s="9">
        <v>30</v>
      </c>
      <c r="H19" s="9">
        <v>34</v>
      </c>
      <c r="I19" s="9">
        <f>SUM(C19:H19)</f>
        <v>196</v>
      </c>
      <c r="J19" s="13">
        <f>I19/300*100</f>
        <v>65.333333333333329</v>
      </c>
      <c r="K19" s="4" t="s">
        <f>IF(MIN(C19:H19)&gt;17,"Pass","Fail")</f>
        <v>7</v>
      </c>
    </row>
    <row r="20" spans="1:11" customHeight="1" ht="21.95">
      <c r="A20" s="14">
        <v>3618</v>
      </c>
      <c r="B20" s="12" t="inlineStr">
        <is>
          <t>Karuna Shrestha</t>
        </is>
      </c>
      <c r="C20" s="9">
        <v>25</v>
      </c>
      <c r="D20" s="9">
        <v>29</v>
      </c>
      <c r="E20" s="9">
        <v>18</v>
      </c>
      <c r="F20" s="9">
        <v>23</v>
      </c>
      <c r="G20" s="9">
        <v>30</v>
      </c>
      <c r="H20" s="9">
        <v>28</v>
      </c>
      <c r="I20" s="9">
        <f>SUM(C20:H20)</f>
        <v>153</v>
      </c>
      <c r="J20" s="13">
        <f>I20/300*100</f>
        <v>51</v>
      </c>
      <c r="K20" s="4" t="s">
        <f>IF(MIN(C20:H20)&gt;17,"Pass","Fail")</f>
        <v>7</v>
      </c>
    </row>
    <row r="21" spans="1:11" customHeight="1" ht="21.95">
      <c r="A21" s="14">
        <v>3619</v>
      </c>
      <c r="B21" s="12" t="inlineStr">
        <is>
          <t>Krish Karki</t>
        </is>
      </c>
      <c r="C21" s="9">
        <v>34</v>
      </c>
      <c r="D21" s="9">
        <v>30</v>
      </c>
      <c r="E21" s="9">
        <v>27</v>
      </c>
      <c r="F21" s="9">
        <v>31</v>
      </c>
      <c r="G21" s="9">
        <v>23</v>
      </c>
      <c r="H21" s="9">
        <v>35</v>
      </c>
      <c r="I21" s="9">
        <f>SUM(C21:H21)</f>
        <v>180</v>
      </c>
      <c r="J21" s="13">
        <f>I21/300*100</f>
        <v>60</v>
      </c>
      <c r="K21" s="4" t="s">
        <f>IF(MIN(C21:H21)&gt;17,"Pass","Fail")</f>
        <v>7</v>
      </c>
    </row>
    <row r="22" spans="1:11" customHeight="1" ht="21.95">
      <c r="A22" s="14">
        <v>3620</v>
      </c>
      <c r="B22" s="12" t="inlineStr">
        <is>
          <t>Krishal Giri</t>
        </is>
      </c>
      <c r="C22" s="9">
        <v>22</v>
      </c>
      <c r="D22" s="9">
        <v>20</v>
      </c>
      <c r="E22" s="9">
        <v>11</v>
      </c>
      <c r="F22" s="9">
        <v>7</v>
      </c>
      <c r="G22" s="9">
        <v>13</v>
      </c>
      <c r="H22" s="9">
        <v>18</v>
      </c>
      <c r="I22" s="9">
        <f>SUM(C22:H22)</f>
        <v>91</v>
      </c>
      <c r="J22" s="13">
        <f>I22/300*100</f>
        <v>30.333333333333336</v>
      </c>
      <c r="K22" s="4" t="s">
        <f>IF(MIN(C22:H22)&gt;17,"Pass","Fail")</f>
        <v>8</v>
      </c>
    </row>
    <row r="23" spans="1:11" customHeight="1" ht="21.95">
      <c r="A23" s="14">
        <v>3621</v>
      </c>
      <c r="B23" s="12" t="inlineStr">
        <is>
          <t>Krishna Chaudhary</t>
        </is>
      </c>
      <c r="C23" s="9">
        <v>13</v>
      </c>
      <c r="D23" s="9">
        <v>25</v>
      </c>
      <c r="E23" s="9">
        <v>19</v>
      </c>
      <c r="F23" s="9">
        <v>19</v>
      </c>
      <c r="G23" s="9">
        <v>12</v>
      </c>
      <c r="H23" s="9">
        <v>18</v>
      </c>
      <c r="I23" s="9">
        <f>SUM(C23:H23)</f>
        <v>106</v>
      </c>
      <c r="J23" s="13">
        <f>I23/300*100</f>
        <v>35.333333333333336</v>
      </c>
      <c r="K23" s="4" t="s">
        <f>IF(MIN(C23:H23)&gt;17,"Pass","Fail")</f>
        <v>8</v>
      </c>
    </row>
    <row r="24" spans="1:11" customHeight="1" ht="21.95">
      <c r="A24" s="14">
        <v>3622</v>
      </c>
      <c r="B24" s="12" t="inlineStr">
        <is>
          <t>Kushal Shrestha</t>
        </is>
      </c>
      <c r="C24" s="9">
        <v>30</v>
      </c>
      <c r="D24" s="9">
        <v>23</v>
      </c>
      <c r="E24" s="9">
        <v>21</v>
      </c>
      <c r="F24" s="9">
        <v>24</v>
      </c>
      <c r="G24" s="9">
        <v>24</v>
      </c>
      <c r="H24" s="9">
        <v>25</v>
      </c>
      <c r="I24" s="9">
        <f>SUM(C24:H24)</f>
        <v>147</v>
      </c>
      <c r="J24" s="13">
        <f>I24/300*100</f>
        <v>49</v>
      </c>
      <c r="K24" s="4" t="s">
        <f>IF(MIN(C24:H24)&gt;17,"Pass","Fail")</f>
        <v>7</v>
      </c>
    </row>
    <row r="25" spans="1:11" customHeight="1" ht="21.95">
      <c r="A25" s="14">
        <v>3623</v>
      </c>
      <c r="B25" s="12" t="inlineStr">
        <is>
          <t>Manish Ale Magar</t>
        </is>
      </c>
      <c r="C25" s="9">
        <v>25</v>
      </c>
      <c r="D25" s="9">
        <v>33</v>
      </c>
      <c r="E25" s="9">
        <v>32</v>
      </c>
      <c r="F25" s="9">
        <v>31</v>
      </c>
      <c r="G25" s="9">
        <v>28</v>
      </c>
      <c r="H25" s="9">
        <v>33</v>
      </c>
      <c r="I25" s="9">
        <f>SUM(C25:H25)</f>
        <v>182</v>
      </c>
      <c r="J25" s="13">
        <f>I25/300*100</f>
        <v>60.666666666666671</v>
      </c>
      <c r="K25" s="4" t="s">
        <f>IF(MIN(C25:H25)&gt;17,"Pass","Fail")</f>
        <v>7</v>
      </c>
    </row>
    <row r="26" spans="1:11" customHeight="1" ht="21.95">
      <c r="A26" s="14">
        <v>3624</v>
      </c>
      <c r="B26" s="12" t="inlineStr">
        <is>
          <t>Manisha Baral</t>
        </is>
      </c>
      <c r="C26" s="9">
        <v>33</v>
      </c>
      <c r="D26" s="9">
        <v>42</v>
      </c>
      <c r="E26" s="9">
        <v>40</v>
      </c>
      <c r="F26" s="9">
        <v>36</v>
      </c>
      <c r="G26" s="9">
        <v>34</v>
      </c>
      <c r="H26" s="9">
        <v>43</v>
      </c>
      <c r="I26" s="9">
        <f>SUM(C26:H26)</f>
        <v>228</v>
      </c>
      <c r="J26" s="13">
        <f>I26/300*100</f>
        <v>76</v>
      </c>
      <c r="K26" s="4" t="s">
        <f>IF(MIN(C26:H26)&gt;17,"Pass","Fail")</f>
        <v>7</v>
      </c>
    </row>
    <row r="27" spans="1:11" customHeight="1" ht="21.95">
      <c r="A27" s="14">
        <v>3625</v>
      </c>
      <c r="B27" s="12" t="inlineStr">
        <is>
          <t>Nischal Ganchhaki</t>
        </is>
      </c>
      <c r="C27" s="9">
        <v>21</v>
      </c>
      <c r="D27" s="9">
        <v>25</v>
      </c>
      <c r="E27" s="9">
        <v>20</v>
      </c>
      <c r="F27" s="9">
        <v>18</v>
      </c>
      <c r="G27" s="9">
        <v>20</v>
      </c>
      <c r="H27" s="9">
        <v>21</v>
      </c>
      <c r="I27" s="9">
        <f>SUM(C27:H27)</f>
        <v>125</v>
      </c>
      <c r="J27" s="13">
        <f>I27/300*100</f>
        <v>41.666666666666671</v>
      </c>
      <c r="K27" s="4" t="s">
        <f>IF(MIN(C27:H27)&gt;17,"Pass","Fail")</f>
        <v>7</v>
      </c>
    </row>
    <row r="28" spans="1:11" customHeight="1" ht="21.95">
      <c r="A28" s="14">
        <v>3626</v>
      </c>
      <c r="B28" s="12" t="inlineStr">
        <is>
          <t>Prajwal Katwal</t>
        </is>
      </c>
      <c r="C28" s="2"/>
      <c r="D28" s="2" t="s">
        <v>10</v>
      </c>
      <c r="E28" s="2" t="s">
        <v>10</v>
      </c>
      <c r="F28" s="2"/>
      <c r="G28" s="2" t="s">
        <v>9</v>
      </c>
      <c r="H28" s="2" t="s">
        <v>10</v>
      </c>
      <c r="I28" s="9">
        <f>SUM(C28:H28)</f>
        <v>0</v>
      </c>
      <c r="J28" s="13">
        <f>I28/300*100</f>
        <v>0</v>
      </c>
      <c r="K28" s="4" t="s">
        <f>IF(MIN(C28:H28)&gt;17,"Pass","Fail")</f>
        <v>8</v>
      </c>
    </row>
    <row r="29" spans="1:11" customHeight="1" ht="21.95">
      <c r="A29" s="14">
        <v>3627</v>
      </c>
      <c r="B29" s="12" t="inlineStr">
        <is>
          <t>Pramish Bishwakarma</t>
        </is>
      </c>
      <c r="C29" s="9">
        <v>22</v>
      </c>
      <c r="D29" s="9">
        <v>23</v>
      </c>
      <c r="E29" s="9">
        <v>13</v>
      </c>
      <c r="F29" s="9">
        <v>19</v>
      </c>
      <c r="G29" s="9">
        <v>13</v>
      </c>
      <c r="H29" s="9">
        <v>18</v>
      </c>
      <c r="I29" s="9">
        <f>SUM(C29:H29)</f>
        <v>108</v>
      </c>
      <c r="J29" s="13">
        <f>I29/300*100</f>
        <v>36</v>
      </c>
      <c r="K29" s="4" t="s">
        <f>IF(MIN(C29:H29)&gt;17,"Pass","Fail")</f>
        <v>8</v>
      </c>
    </row>
    <row r="30" spans="1:11" customHeight="1" ht="21.95">
      <c r="A30" s="14">
        <v>3628</v>
      </c>
      <c r="B30" s="12" t="inlineStr">
        <is>
          <t>Pranish Sapkota</t>
        </is>
      </c>
      <c r="C30" s="9">
        <v>23</v>
      </c>
      <c r="D30" s="9">
        <v>28</v>
      </c>
      <c r="E30" s="9">
        <v>18</v>
      </c>
      <c r="F30" s="9">
        <v>23</v>
      </c>
      <c r="G30" s="9">
        <v>21</v>
      </c>
      <c r="H30" s="9">
        <v>23</v>
      </c>
      <c r="I30" s="9">
        <f>SUM(C30:H30)</f>
        <v>136</v>
      </c>
      <c r="J30" s="13">
        <f>I30/300*100</f>
        <v>45.333333333333329</v>
      </c>
      <c r="K30" s="4" t="s">
        <f>IF(MIN(C30:H30)&gt;17,"Pass","Fail")</f>
        <v>7</v>
      </c>
    </row>
    <row r="31" spans="1:11" customHeight="1" ht="21.95">
      <c r="A31" s="14">
        <v>3629</v>
      </c>
      <c r="B31" s="12" t="inlineStr">
        <is>
          <t>Prashant Katwal</t>
        </is>
      </c>
      <c r="C31" s="9">
        <v>29</v>
      </c>
      <c r="D31" s="9">
        <v>28</v>
      </c>
      <c r="E31" s="9">
        <v>29</v>
      </c>
      <c r="F31" s="9">
        <v>25</v>
      </c>
      <c r="G31" s="9">
        <v>28</v>
      </c>
      <c r="H31" s="9">
        <v>19</v>
      </c>
      <c r="I31" s="9">
        <f>SUM(C31:H31)</f>
        <v>158</v>
      </c>
      <c r="J31" s="13">
        <f>I31/300*100</f>
        <v>52.666666666666664</v>
      </c>
      <c r="K31" s="4" t="s">
        <f>IF(MIN(C31:H31)&gt;17,"Pass","Fail")</f>
        <v>7</v>
      </c>
    </row>
    <row r="32" spans="1:11" customHeight="1" ht="21.95">
      <c r="A32" s="14">
        <v>3630</v>
      </c>
      <c r="B32" s="12" t="inlineStr">
        <is>
          <t>Rijan Baral</t>
        </is>
      </c>
      <c r="C32" s="9">
        <v>33</v>
      </c>
      <c r="D32" s="9">
        <v>38</v>
      </c>
      <c r="E32" s="9">
        <v>42</v>
      </c>
      <c r="F32" s="9">
        <v>35</v>
      </c>
      <c r="G32" s="9">
        <v>37</v>
      </c>
      <c r="H32" s="9">
        <v>42</v>
      </c>
      <c r="I32" s="9">
        <f>SUM(C32:H32)</f>
        <v>227</v>
      </c>
      <c r="J32" s="13">
        <f>I32/300*100</f>
        <v>75.666666666666671</v>
      </c>
      <c r="K32" s="4" t="s">
        <f>IF(MIN(C32:H32)&gt;17,"Pass","Fail")</f>
        <v>7</v>
      </c>
    </row>
    <row r="33" spans="1:11" customHeight="1" ht="21.95">
      <c r="A33" s="14">
        <v>3631</v>
      </c>
      <c r="B33" s="12" t="inlineStr">
        <is>
          <t>Rishab Pokharel</t>
        </is>
      </c>
      <c r="C33" s="9">
        <v>27</v>
      </c>
      <c r="D33" s="9">
        <v>32</v>
      </c>
      <c r="E33" s="9">
        <v>31</v>
      </c>
      <c r="F33" s="9">
        <v>18</v>
      </c>
      <c r="G33" s="9">
        <v>27</v>
      </c>
      <c r="H33" s="9">
        <v>33</v>
      </c>
      <c r="I33" s="9">
        <f>SUM(C33:H33)</f>
        <v>168</v>
      </c>
      <c r="J33" s="13">
        <f>I33/300*100</f>
        <v>56.000000000000007</v>
      </c>
      <c r="K33" s="4" t="s">
        <f>IF(MIN(C33:H33)&gt;17,"Pass","Fail")</f>
        <v>7</v>
      </c>
    </row>
    <row r="34" spans="1:11" customHeight="1" ht="21.95">
      <c r="A34" s="14">
        <v>3632</v>
      </c>
      <c r="B34" s="12" t="inlineStr">
        <is>
          <t>Roshni Subba</t>
        </is>
      </c>
      <c r="C34" s="9">
        <v>24</v>
      </c>
      <c r="D34" s="9">
        <v>30</v>
      </c>
      <c r="E34" s="9">
        <v>25</v>
      </c>
      <c r="F34" s="9">
        <v>14</v>
      </c>
      <c r="G34" s="9">
        <v>20</v>
      </c>
      <c r="H34" s="9">
        <v>26</v>
      </c>
      <c r="I34" s="9">
        <f>SUM(C34:H34)</f>
        <v>139</v>
      </c>
      <c r="J34" s="13">
        <f>I34/300*100</f>
        <v>46.333333333333329</v>
      </c>
      <c r="K34" s="4" t="s">
        <f>IF(MIN(C34:H34)&gt;17,"Pass","Fail")</f>
        <v>8</v>
      </c>
    </row>
    <row r="35" spans="1:11" customHeight="1" ht="21.95">
      <c r="A35" s="14">
        <v>3633</v>
      </c>
      <c r="B35" s="12" t="inlineStr">
        <is>
          <t>Salina Koirala</t>
        </is>
      </c>
      <c r="C35" s="9">
        <v>41</v>
      </c>
      <c r="D35" s="9">
        <v>41</v>
      </c>
      <c r="E35" s="9">
        <v>39</v>
      </c>
      <c r="F35" s="9">
        <v>41</v>
      </c>
      <c r="G35" s="9">
        <v>31</v>
      </c>
      <c r="H35" s="9">
        <v>41</v>
      </c>
      <c r="I35" s="9">
        <f>SUM(C35:H35)</f>
        <v>234</v>
      </c>
      <c r="J35" s="13">
        <f>I35/300*100</f>
        <v>78</v>
      </c>
      <c r="K35" s="4" t="s">
        <f>IF(MIN(C35:H35)&gt;17,"Pass","Fail")</f>
        <v>7</v>
      </c>
    </row>
    <row r="36" spans="1:11" customHeight="1" ht="21.95">
      <c r="A36" s="14">
        <v>3634</v>
      </c>
      <c r="B36" s="12" t="inlineStr">
        <is>
          <t>Samip BishwoKarma</t>
        </is>
      </c>
      <c r="C36" s="9">
        <v>25</v>
      </c>
      <c r="D36" s="9">
        <v>13</v>
      </c>
      <c r="E36" s="9">
        <v>18</v>
      </c>
      <c r="F36" s="9">
        <v>6</v>
      </c>
      <c r="G36" s="9">
        <v>20</v>
      </c>
      <c r="H36" s="9">
        <v>22</v>
      </c>
      <c r="I36" s="9">
        <f>SUM(C36:H36)</f>
        <v>104</v>
      </c>
      <c r="J36" s="13">
        <f>I36/300*100</f>
        <v>34.666666666666671</v>
      </c>
      <c r="K36" s="4" t="s">
        <f>IF(MIN(C36:H36)&gt;17,"Pass","Fail")</f>
        <v>8</v>
      </c>
    </row>
    <row r="37" spans="1:11" customHeight="1" ht="21.95">
      <c r="A37" s="14">
        <v>3635</v>
      </c>
      <c r="B37" s="12" t="inlineStr">
        <is>
          <t>Samrat Thakuri</t>
        </is>
      </c>
      <c r="C37" s="9">
        <v>23</v>
      </c>
      <c r="D37" s="9">
        <v>20</v>
      </c>
      <c r="E37" s="9">
        <v>18</v>
      </c>
      <c r="F37" s="9">
        <v>1</v>
      </c>
      <c r="G37" s="9">
        <v>11</v>
      </c>
      <c r="H37" s="9">
        <v>20</v>
      </c>
      <c r="I37" s="9">
        <f>SUM(C37:H37)</f>
        <v>93</v>
      </c>
      <c r="J37" s="13">
        <f>I37/300*100</f>
        <v>31</v>
      </c>
      <c r="K37" s="4" t="s">
        <f>IF(MIN(C37:H37)&gt;17,"Pass","Fail")</f>
        <v>8</v>
      </c>
    </row>
    <row r="38" spans="1:11" customHeight="1" ht="21.95">
      <c r="A38" s="14">
        <v>3636</v>
      </c>
      <c r="B38" s="12" t="inlineStr">
        <is>
          <t>Samuel Khapung</t>
        </is>
      </c>
      <c r="C38" s="9">
        <v>31</v>
      </c>
      <c r="D38" s="9">
        <v>24</v>
      </c>
      <c r="E38" s="9">
        <v>26</v>
      </c>
      <c r="F38" s="9">
        <v>25</v>
      </c>
      <c r="G38" s="9">
        <v>28</v>
      </c>
      <c r="H38" s="9">
        <v>38</v>
      </c>
      <c r="I38" s="9">
        <f>SUM(C38:H38)</f>
        <v>172</v>
      </c>
      <c r="J38" s="13">
        <f>I38/300*100</f>
        <v>57.333333333333336</v>
      </c>
      <c r="K38" s="4" t="s">
        <f>IF(MIN(C38:H38)&gt;17,"Pass","Fail")</f>
        <v>7</v>
      </c>
    </row>
    <row r="39" spans="1:11" customHeight="1" ht="21.95">
      <c r="A39" s="14">
        <v>3637</v>
      </c>
      <c r="B39" s="12" t="inlineStr">
        <is>
          <t>Sandesh Acharya</t>
        </is>
      </c>
      <c r="C39" s="9">
        <v>28</v>
      </c>
      <c r="D39" s="9">
        <v>31</v>
      </c>
      <c r="E39" s="9">
        <v>30</v>
      </c>
      <c r="F39" s="9">
        <v>22</v>
      </c>
      <c r="G39" s="9">
        <v>26</v>
      </c>
      <c r="H39" s="9">
        <v>27</v>
      </c>
      <c r="I39" s="9">
        <f>SUM(C39:H39)</f>
        <v>164</v>
      </c>
      <c r="J39" s="13">
        <f>I39/300*100</f>
        <v>54.666666666666664</v>
      </c>
      <c r="K39" s="4" t="s">
        <f>IF(MIN(C39:H39)&gt;17,"Pass","Fail")</f>
        <v>7</v>
      </c>
    </row>
    <row r="40" spans="1:11" customHeight="1" ht="21.95">
      <c r="A40" s="14">
        <v>3638</v>
      </c>
      <c r="B40" s="12" t="s">
        <v>24</v>
      </c>
      <c r="C40" s="9">
        <v>23</v>
      </c>
      <c r="D40" s="9">
        <v>20</v>
      </c>
      <c r="E40" s="9">
        <v>18</v>
      </c>
      <c r="F40" s="9">
        <v>29</v>
      </c>
      <c r="G40" s="9">
        <v>20</v>
      </c>
      <c r="H40" s="9">
        <v>30</v>
      </c>
      <c r="I40" s="9">
        <f>SUM(C40:H40)</f>
        <v>140</v>
      </c>
      <c r="J40" s="13">
        <f>I40/300*100</f>
        <v>46.666666666666664</v>
      </c>
      <c r="K40" s="4" t="s">
        <f>IF(MIN(C40:H40)&gt;17,"Pass","Fail")</f>
        <v>7</v>
      </c>
    </row>
    <row r="41" spans="1:11" customHeight="1" ht="21.95">
      <c r="A41" s="14">
        <v>3639</v>
      </c>
      <c r="B41" s="12" t="inlineStr">
        <is>
          <t>Shuaasha Pokharel</t>
        </is>
      </c>
      <c r="C41" s="9">
        <v>27</v>
      </c>
      <c r="D41" s="9">
        <v>32</v>
      </c>
      <c r="E41" s="9">
        <v>36</v>
      </c>
      <c r="F41" s="9">
        <v>29</v>
      </c>
      <c r="G41" s="9">
        <v>25</v>
      </c>
      <c r="H41" s="9">
        <v>36</v>
      </c>
      <c r="I41" s="9">
        <f>SUM(C41:H41)</f>
        <v>185</v>
      </c>
      <c r="J41" s="13">
        <f>I41/300*100</f>
        <v>61.666666666666671</v>
      </c>
      <c r="K41" s="4" t="s">
        <f>IF(MIN(C41:H41)&gt;17,"Pass","Fail")</f>
        <v>7</v>
      </c>
    </row>
    <row r="42" spans="1:11" customHeight="1" ht="21.95">
      <c r="A42" s="14">
        <v>3640</v>
      </c>
      <c r="B42" s="12" t="inlineStr">
        <is>
          <t>Sital Gurung</t>
        </is>
      </c>
      <c r="C42" s="9">
        <v>18</v>
      </c>
      <c r="D42" s="2" t="s">
        <v>10</v>
      </c>
      <c r="E42" s="9">
        <v>13</v>
      </c>
      <c r="F42" s="9">
        <v>11</v>
      </c>
      <c r="G42" s="2" t="s">
        <v>9</v>
      </c>
      <c r="H42" s="9" t="s">
        <v>10</v>
      </c>
      <c r="I42" s="9">
        <f>SUM(C42:H42)</f>
        <v>42</v>
      </c>
      <c r="J42" s="13">
        <f>I42/300*100</f>
        <v>14.000000000000002</v>
      </c>
      <c r="K42" s="4" t="s">
        <f>IF(MIN(C42:H42)&gt;17,"Pass","Fail")</f>
        <v>8</v>
      </c>
    </row>
    <row r="43" spans="1:11" customHeight="1" ht="21.95">
      <c r="A43" s="14">
        <v>3641</v>
      </c>
      <c r="B43" s="12" t="inlineStr">
        <is>
          <t>Sohen Limbu</t>
        </is>
      </c>
      <c r="C43" s="9">
        <v>33</v>
      </c>
      <c r="D43" s="9">
        <v>33</v>
      </c>
      <c r="E43" s="9">
        <v>23</v>
      </c>
      <c r="F43" s="9">
        <v>33</v>
      </c>
      <c r="G43" s="9">
        <v>29</v>
      </c>
      <c r="H43" s="9">
        <v>30</v>
      </c>
      <c r="I43" s="9">
        <f>SUM(C43:H43)</f>
        <v>181</v>
      </c>
      <c r="J43" s="13">
        <f>I43/300*100</f>
        <v>60.333333333333336</v>
      </c>
      <c r="K43" s="4" t="s">
        <f>IF(MIN(C43:H43)&gt;17,"Pass","Fail")</f>
        <v>7</v>
      </c>
    </row>
    <row r="44" spans="1:11" customHeight="1" ht="21.95">
      <c r="A44" s="14">
        <v>3642</v>
      </c>
      <c r="B44" s="12" t="inlineStr">
        <is>
          <t>Subral Dahal</t>
        </is>
      </c>
      <c r="C44" s="9">
        <v>25</v>
      </c>
      <c r="D44" s="9">
        <v>25</v>
      </c>
      <c r="E44" s="9">
        <v>23</v>
      </c>
      <c r="F44" s="9">
        <v>18</v>
      </c>
      <c r="G44" s="9">
        <v>23</v>
      </c>
      <c r="H44" s="9">
        <v>27</v>
      </c>
      <c r="I44" s="9">
        <f>SUM(C44:H44)</f>
        <v>141</v>
      </c>
      <c r="J44" s="13">
        <f>I44/300*100</f>
        <v>47</v>
      </c>
      <c r="K44" s="4" t="s">
        <f>IF(MIN(C44:H44)&gt;17,"Pass","Fail")</f>
        <v>7</v>
      </c>
    </row>
    <row r="45" spans="1:11" customHeight="1" ht="21.95">
      <c r="A45" s="14">
        <v>3643</v>
      </c>
      <c r="B45" s="12" t="inlineStr">
        <is>
          <t>Sugam Koirala</t>
        </is>
      </c>
      <c r="C45" s="9">
        <v>18</v>
      </c>
      <c r="D45" s="9">
        <v>12</v>
      </c>
      <c r="E45" s="9">
        <v>10</v>
      </c>
      <c r="F45" s="9">
        <v>1</v>
      </c>
      <c r="G45" s="9">
        <v>7</v>
      </c>
      <c r="H45" s="9">
        <v>14</v>
      </c>
      <c r="I45" s="9">
        <f>SUM(C45:H45)</f>
        <v>62</v>
      </c>
      <c r="J45" s="13">
        <f>I45/300*100</f>
        <v>20.666666666666668</v>
      </c>
      <c r="K45" s="4" t="s">
        <f>IF(MIN(C45:H45)&gt;17,"Pass","Fail")</f>
        <v>8</v>
      </c>
    </row>
    <row r="46" spans="1:11" customHeight="1" ht="21.95">
      <c r="A46" s="14">
        <v>3644</v>
      </c>
      <c r="B46" s="12" t="inlineStr">
        <is>
          <t>Sujan Chaudhary</t>
        </is>
      </c>
      <c r="C46" s="9">
        <v>18</v>
      </c>
      <c r="D46" s="9">
        <v>21</v>
      </c>
      <c r="E46" s="9">
        <v>13</v>
      </c>
      <c r="F46" s="9">
        <v>21</v>
      </c>
      <c r="G46" s="9">
        <v>20</v>
      </c>
      <c r="H46" s="9">
        <v>25</v>
      </c>
      <c r="I46" s="9">
        <f>SUM(C46:H46)</f>
        <v>118</v>
      </c>
      <c r="J46" s="13">
        <f>I46/300*100</f>
        <v>39.333333333333329</v>
      </c>
      <c r="K46" s="4" t="s">
        <f>IF(MIN(C46:H46)&gt;17,"Pass","Fail")</f>
        <v>8</v>
      </c>
    </row>
    <row r="47" spans="1:11" customHeight="1" ht="21.95">
      <c r="A47" s="14">
        <v>3645</v>
      </c>
      <c r="B47" s="12" t="inlineStr">
        <is>
          <t>Suprim Rai</t>
        </is>
      </c>
      <c r="C47" s="9">
        <v>27</v>
      </c>
      <c r="D47" s="9">
        <v>20</v>
      </c>
      <c r="E47" s="9">
        <v>21</v>
      </c>
      <c r="F47" s="9">
        <v>19</v>
      </c>
      <c r="G47" s="9">
        <v>4</v>
      </c>
      <c r="H47" s="9">
        <v>9</v>
      </c>
      <c r="I47" s="9">
        <f>SUM(C47:H47)</f>
        <v>100</v>
      </c>
      <c r="J47" s="13">
        <f>I47/300*100</f>
        <v>33.333333333333329</v>
      </c>
      <c r="K47" s="4" t="s">
        <f>IF(MIN(C47:H47)&gt;17,"Pass","Fail")</f>
        <v>8</v>
      </c>
    </row>
    <row r="48" spans="1:11" customHeight="1" ht="21.95">
      <c r="A48" s="14">
        <v>3646</v>
      </c>
      <c r="B48" s="12" t="inlineStr">
        <is>
          <t>Tek Raj Rai</t>
        </is>
      </c>
      <c r="C48" s="9">
        <v>20</v>
      </c>
      <c r="D48" s="9">
        <v>32</v>
      </c>
      <c r="E48" s="9">
        <v>24</v>
      </c>
      <c r="F48" s="9">
        <v>18</v>
      </c>
      <c r="G48" s="9">
        <v>20</v>
      </c>
      <c r="H48" s="9">
        <v>18</v>
      </c>
      <c r="I48" s="9">
        <f>SUM(C48:H48)</f>
        <v>132</v>
      </c>
      <c r="J48" s="13">
        <f>I48/300*100</f>
        <v>44</v>
      </c>
      <c r="K48" s="4" t="s">
        <f>IF(MIN(C48:H48)&gt;17,"Pass","Fail")</f>
        <v>7</v>
      </c>
    </row>
    <row r="49" spans="1:11" customHeight="1" ht="21.95">
      <c r="A49" s="14">
        <v>3647</v>
      </c>
      <c r="B49" s="12" t="inlineStr">
        <is>
          <t>Ukshu Hang limbu</t>
        </is>
      </c>
      <c r="C49" s="9">
        <v>24</v>
      </c>
      <c r="D49" s="9">
        <v>29</v>
      </c>
      <c r="E49" s="9">
        <v>19</v>
      </c>
      <c r="F49" s="9">
        <v>25</v>
      </c>
      <c r="G49" s="9">
        <v>24</v>
      </c>
      <c r="H49" s="9">
        <v>31</v>
      </c>
      <c r="I49" s="9">
        <f>SUM(C49:H49)</f>
        <v>152</v>
      </c>
      <c r="J49" s="13">
        <f>I49/300*100</f>
        <v>50.666666666666671</v>
      </c>
      <c r="K49" s="4" t="s">
        <f>IF(MIN(C49:H49)&gt;17,"Pass","Fail")</f>
        <v>7</v>
      </c>
    </row>
    <row r="50" spans="1:11" customHeight="1" ht="21.95">
      <c r="A50" s="14">
        <v>3648</v>
      </c>
      <c r="B50" s="2" t="inlineStr">
        <is>
          <t>Sohan Thapa Magar</t>
        </is>
      </c>
      <c r="C50" s="9">
        <v>11</v>
      </c>
      <c r="D50" s="9">
        <v>20</v>
      </c>
      <c r="E50" s="9">
        <v>18</v>
      </c>
      <c r="F50" s="9">
        <v>4</v>
      </c>
      <c r="G50" s="9">
        <v>1</v>
      </c>
      <c r="H50" s="9">
        <v>5</v>
      </c>
      <c r="I50" s="9">
        <f>SUM(C50:H50)</f>
        <v>59</v>
      </c>
      <c r="J50" s="13">
        <f>I50/300*100</f>
        <v>19.666666666666664</v>
      </c>
      <c r="K50" s="4" t="s">
        <f>IF(MIN(C50:H50)&gt;17,"Pass","Fail")</f>
        <v>8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orientation="portrait" pageOrder="downThenOver" paperSize="9" scale="100" useFirstPageNumber="0"/>
  <headerFooter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K49"/>
  <sheetViews>
    <sheetView topLeftCell="A34" workbookViewId="0">
      <selection activeCell="K2" sqref="K2:K3"/>
    </sheetView>
  </sheetViews>
  <sheetFormatPr defaultColWidth="67.5" defaultRowHeight="15"/>
  <cols>
    <col min="1" max="1" style="1" width="5.5703125" bestFit="1" customWidth="1"/>
    <col min="2" max="2" style="1" width="18" bestFit="1" customWidth="1"/>
    <col min="3" max="3" style="1" width="7" customWidth="1"/>
    <col min="4" max="5" style="1" width="6.140625" bestFit="1" customWidth="1"/>
    <col min="6" max="7" style="1" width="4.28515625" bestFit="1" customWidth="1"/>
    <col min="8" max="8" style="1" width="5.85546875" bestFit="1" customWidth="1"/>
    <col min="9" max="9" style="1" width="5" bestFit="1" customWidth="1"/>
    <col min="10" max="10" style="1" width="5.5703125" bestFit="1" customWidth="1"/>
    <col min="11" max="16384" style="1" width="12.856370192307693"/>
  </cols>
  <sheetData>
    <row r="1" spans="1:11" customHeight="1" ht="21.95">
      <c r="A1" s="2"/>
      <c r="B1" s="15" t="inlineStr">
        <is>
          <t>NEPAL INVESTMENT-XI</t>
        </is>
      </c>
      <c r="C1" s="16"/>
      <c r="D1" s="17"/>
      <c r="E1" s="2"/>
      <c r="F1" s="2"/>
      <c r="G1" s="2"/>
      <c r="H1" s="2"/>
      <c r="I1" s="2"/>
      <c r="J1" s="2"/>
      <c r="K1" s="4"/>
    </row>
    <row r="2" spans="1:11" customHeight="1" ht="21.95">
      <c r="A2" s="5" t="s">
        <v>0</v>
      </c>
      <c r="B2" s="5" t="s">
        <v>1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21</v>
      </c>
      <c r="I2" s="6" t="s">
        <v>3</v>
      </c>
      <c r="J2" s="6" t="s">
        <v>4</v>
      </c>
      <c r="K2" s="4" t="s">
        <v>5</v>
      </c>
    </row>
    <row r="3" spans="1:11" customHeight="1" ht="21.95">
      <c r="A3" s="14">
        <v>3701</v>
      </c>
      <c r="B3" s="12" t="inlineStr">
        <is>
          <t>Aahana Bhattarai</t>
        </is>
      </c>
      <c r="C3" s="9">
        <v>30</v>
      </c>
      <c r="D3" s="9">
        <v>29</v>
      </c>
      <c r="E3" s="9">
        <v>18</v>
      </c>
      <c r="F3" s="9">
        <v>12</v>
      </c>
      <c r="G3" s="9">
        <v>31</v>
      </c>
      <c r="H3" s="9">
        <v>27</v>
      </c>
      <c r="I3" s="9">
        <f>SUM(C3:H3)</f>
        <v>147</v>
      </c>
      <c r="J3" s="13">
        <f>I3/300*100</f>
        <v>49</v>
      </c>
      <c r="K3" s="4" t="s">
        <f>IF(MIN(C3:H3)&gt;17,"Pass","Fail")</f>
        <v>8</v>
      </c>
    </row>
    <row r="4" spans="1:11" customHeight="1" ht="21.95">
      <c r="A4" s="14">
        <v>3702</v>
      </c>
      <c r="B4" s="12" t="inlineStr">
        <is>
          <t>Aarush Dahal</t>
        </is>
      </c>
      <c r="C4" s="9">
        <v>18</v>
      </c>
      <c r="D4" s="9">
        <v>18</v>
      </c>
      <c r="E4" s="9">
        <v>10</v>
      </c>
      <c r="F4" s="9">
        <v>3</v>
      </c>
      <c r="G4" s="9">
        <v>10</v>
      </c>
      <c r="H4" s="9">
        <v>22</v>
      </c>
      <c r="I4" s="9">
        <f>SUM(C4:H4)</f>
        <v>81</v>
      </c>
      <c r="J4" s="13">
        <f>I4/300*100</f>
        <v>27</v>
      </c>
      <c r="K4" s="4" t="s">
        <f>IF(MIN(C4:H4)&gt;17,"Pass","Fail")</f>
        <v>8</v>
      </c>
    </row>
    <row r="5" spans="1:11" customHeight="1" ht="21.95">
      <c r="A5" s="14">
        <v>3703</v>
      </c>
      <c r="B5" s="12" t="inlineStr">
        <is>
          <t>Aashish Mangrati</t>
        </is>
      </c>
      <c r="C5" s="2" t="s">
        <v>10</v>
      </c>
      <c r="D5" s="2" t="s">
        <v>9</v>
      </c>
      <c r="E5" s="9">
        <v>2</v>
      </c>
      <c r="F5" s="9">
        <v>1</v>
      </c>
      <c r="G5" s="9">
        <v>10</v>
      </c>
      <c r="H5" s="2" t="s">
        <v>10</v>
      </c>
      <c r="I5" s="9">
        <f>SUM(C5:H5)</f>
        <v>13</v>
      </c>
      <c r="J5" s="13">
        <f>I5/300*100</f>
        <v>4.3333333333333339</v>
      </c>
      <c r="K5" s="4" t="s">
        <f>IF(MIN(C5:H5)&gt;17,"Pass","Fail")</f>
        <v>8</v>
      </c>
    </row>
    <row r="6" spans="1:11" customHeight="1" ht="21.95">
      <c r="A6" s="14">
        <v>3704</v>
      </c>
      <c r="B6" s="12" t="inlineStr">
        <is>
          <t>Aastha Chaudhary</t>
        </is>
      </c>
      <c r="C6" s="9">
        <v>29</v>
      </c>
      <c r="D6" s="9">
        <v>37</v>
      </c>
      <c r="E6" s="9">
        <v>20</v>
      </c>
      <c r="F6" s="9">
        <v>18</v>
      </c>
      <c r="G6" s="9">
        <v>24</v>
      </c>
      <c r="H6" s="9">
        <v>27</v>
      </c>
      <c r="I6" s="9">
        <f>SUM(C6:H6)</f>
        <v>155</v>
      </c>
      <c r="J6" s="13">
        <f>I6/300*100</f>
        <v>51.666666666666671</v>
      </c>
      <c r="K6" s="4" t="s">
        <f>IF(MIN(C6:H6)&gt;17,"Pass","Fail")</f>
        <v>7</v>
      </c>
    </row>
    <row r="7" spans="1:11" customHeight="1" ht="21.95">
      <c r="A7" s="14">
        <v>3705</v>
      </c>
      <c r="B7" s="12" t="inlineStr">
        <is>
          <t>Aavash Katwal</t>
        </is>
      </c>
      <c r="C7" s="9">
        <v>19</v>
      </c>
      <c r="D7" s="9">
        <v>30</v>
      </c>
      <c r="E7" s="9">
        <v>20</v>
      </c>
      <c r="F7" s="9">
        <v>18</v>
      </c>
      <c r="G7" s="9">
        <v>18</v>
      </c>
      <c r="H7" s="9">
        <v>19</v>
      </c>
      <c r="I7" s="9">
        <f>SUM(C7:H7)</f>
        <v>124</v>
      </c>
      <c r="J7" s="13">
        <f>I7/300*100</f>
        <v>41.333333333333336</v>
      </c>
      <c r="K7" s="4" t="s">
        <f>IF(MIN(C7:H7)&gt;17,"Pass","Fail")</f>
        <v>7</v>
      </c>
    </row>
    <row r="8" spans="1:11" customHeight="1" ht="21.95">
      <c r="A8" s="14">
        <v>3706</v>
      </c>
      <c r="B8" s="12" t="inlineStr">
        <is>
          <t>Aayasha Raut</t>
        </is>
      </c>
      <c r="C8" s="9">
        <v>30</v>
      </c>
      <c r="D8" s="9">
        <v>28</v>
      </c>
      <c r="E8" s="9">
        <v>15</v>
      </c>
      <c r="F8" s="9">
        <v>11</v>
      </c>
      <c r="G8" s="9">
        <v>18</v>
      </c>
      <c r="H8" s="9">
        <v>20</v>
      </c>
      <c r="I8" s="9">
        <f>SUM(C8:H8)</f>
        <v>122</v>
      </c>
      <c r="J8" s="13">
        <f>I8/300*100</f>
        <v>40.666666666666664</v>
      </c>
      <c r="K8" s="4" t="s">
        <f>IF(MIN(C8:H8)&gt;17,"Pass","Fail")</f>
        <v>8</v>
      </c>
    </row>
    <row r="9" spans="1:11" customHeight="1" ht="21.95">
      <c r="A9" s="14">
        <v>3707</v>
      </c>
      <c r="B9" s="12" t="inlineStr">
        <is>
          <t>Abijit Karki</t>
        </is>
      </c>
      <c r="C9" s="9">
        <v>27</v>
      </c>
      <c r="D9" s="9">
        <v>37</v>
      </c>
      <c r="E9" s="9">
        <v>20</v>
      </c>
      <c r="F9" s="9">
        <v>20</v>
      </c>
      <c r="G9" s="9">
        <v>28</v>
      </c>
      <c r="H9" s="9">
        <v>38</v>
      </c>
      <c r="I9" s="9">
        <f>SUM(C9:H9)</f>
        <v>170</v>
      </c>
      <c r="J9" s="13">
        <f>I9/300*100</f>
        <v>56.666666666666664</v>
      </c>
      <c r="K9" s="4" t="s">
        <f>IF(MIN(C9:H9)&gt;17,"Pass","Fail")</f>
        <v>7</v>
      </c>
    </row>
    <row r="10" spans="1:11" customHeight="1" ht="21.95">
      <c r="A10" s="14">
        <v>3708</v>
      </c>
      <c r="B10" s="12" t="inlineStr">
        <is>
          <t>Alina Limbu</t>
        </is>
      </c>
      <c r="C10" s="9">
        <v>41</v>
      </c>
      <c r="D10" s="9">
        <v>37</v>
      </c>
      <c r="E10" s="9">
        <v>30</v>
      </c>
      <c r="F10" s="9">
        <v>26</v>
      </c>
      <c r="G10" s="9">
        <v>36</v>
      </c>
      <c r="H10" s="9">
        <v>36</v>
      </c>
      <c r="I10" s="9">
        <f>SUM(C10:H10)</f>
        <v>206</v>
      </c>
      <c r="J10" s="13">
        <f>I10/300*100</f>
        <v>68.666666666666671</v>
      </c>
      <c r="K10" s="4" t="s">
        <f>IF(MIN(C10:H10)&gt;17,"Pass","Fail")</f>
        <v>7</v>
      </c>
    </row>
    <row r="11" spans="1:11" customHeight="1" ht="21.95">
      <c r="A11" s="14">
        <v>3709</v>
      </c>
      <c r="B11" s="12" t="inlineStr">
        <is>
          <t>Aman Sharma</t>
        </is>
      </c>
      <c r="C11" s="9">
        <v>24</v>
      </c>
      <c r="D11" s="9">
        <v>23</v>
      </c>
      <c r="E11" s="9">
        <v>9</v>
      </c>
      <c r="F11" s="9">
        <v>3</v>
      </c>
      <c r="G11" s="9">
        <v>18</v>
      </c>
      <c r="H11" s="9">
        <v>18</v>
      </c>
      <c r="I11" s="9">
        <f>SUM(C11:H11)</f>
        <v>95</v>
      </c>
      <c r="J11" s="13">
        <f>I11/300*100</f>
        <v>31.666666666666664</v>
      </c>
      <c r="K11" s="4" t="s">
        <f>IF(MIN(C11:H11)&gt;17,"Pass","Fail")</f>
        <v>8</v>
      </c>
    </row>
    <row r="12" spans="1:11" customHeight="1" ht="21.95">
      <c r="A12" s="14">
        <v>3710</v>
      </c>
      <c r="B12" s="12" t="inlineStr">
        <is>
          <t>Aniket Chaudhary</t>
        </is>
      </c>
      <c r="C12" s="9">
        <v>31</v>
      </c>
      <c r="D12" s="9">
        <v>21</v>
      </c>
      <c r="E12" s="9">
        <v>15</v>
      </c>
      <c r="F12" s="9">
        <v>4</v>
      </c>
      <c r="G12" s="9">
        <v>10</v>
      </c>
      <c r="H12" s="9">
        <v>5</v>
      </c>
      <c r="I12" s="9">
        <f>SUM(C12:H12)</f>
        <v>86</v>
      </c>
      <c r="J12" s="13">
        <f>I12/300*100</f>
        <v>28.666666666666668</v>
      </c>
      <c r="K12" s="4" t="s">
        <f>IF(MIN(C12:H12)&gt;17,"Pass","Fail")</f>
        <v>8</v>
      </c>
    </row>
    <row r="13" spans="1:11" customHeight="1" ht="21.95">
      <c r="A13" s="14">
        <v>3711</v>
      </c>
      <c r="B13" s="12" t="inlineStr">
        <is>
          <t>Ankit Ghimire</t>
        </is>
      </c>
      <c r="C13" s="9">
        <v>36</v>
      </c>
      <c r="D13" s="9">
        <v>31</v>
      </c>
      <c r="E13" s="9">
        <v>20</v>
      </c>
      <c r="F13" s="9">
        <v>9</v>
      </c>
      <c r="G13" s="9">
        <v>19</v>
      </c>
      <c r="H13" s="9">
        <v>23</v>
      </c>
      <c r="I13" s="9">
        <f>SUM(C13:H13)</f>
        <v>138</v>
      </c>
      <c r="J13" s="13">
        <f>I13/300*100</f>
        <v>46</v>
      </c>
      <c r="K13" s="4" t="s">
        <f>IF(MIN(C13:H13)&gt;17,"Pass","Fail")</f>
        <v>8</v>
      </c>
    </row>
    <row r="14" spans="1:11" customHeight="1" ht="21.95">
      <c r="A14" s="14">
        <v>3712</v>
      </c>
      <c r="B14" s="12" t="inlineStr">
        <is>
          <t>Anuj Chaudhary</t>
        </is>
      </c>
      <c r="C14" s="9">
        <v>27</v>
      </c>
      <c r="D14" s="9">
        <v>27</v>
      </c>
      <c r="E14" s="9">
        <v>14</v>
      </c>
      <c r="F14" s="9">
        <v>18</v>
      </c>
      <c r="G14" s="9">
        <v>12</v>
      </c>
      <c r="H14" s="9">
        <v>26</v>
      </c>
      <c r="I14" s="9">
        <f>SUM(C14:H14)</f>
        <v>124</v>
      </c>
      <c r="J14" s="13">
        <f>I14/300*100</f>
        <v>41.333333333333336</v>
      </c>
      <c r="K14" s="4" t="s">
        <f>IF(MIN(C14:H14)&gt;17,"Pass","Fail")</f>
        <v>8</v>
      </c>
    </row>
    <row r="15" spans="1:11" customHeight="1" ht="21.95">
      <c r="A15" s="14">
        <v>3713</v>
      </c>
      <c r="B15" s="12" t="inlineStr">
        <is>
          <t>Arbin Bhatta</t>
        </is>
      </c>
      <c r="C15" s="9">
        <v>28</v>
      </c>
      <c r="D15" s="9">
        <v>33</v>
      </c>
      <c r="E15" s="9">
        <v>25</v>
      </c>
      <c r="F15" s="9">
        <v>24</v>
      </c>
      <c r="G15" s="9">
        <v>31</v>
      </c>
      <c r="H15" s="9">
        <v>39</v>
      </c>
      <c r="I15" s="9">
        <f>SUM(C15:H15)</f>
        <v>180</v>
      </c>
      <c r="J15" s="13">
        <f>I15/300*100</f>
        <v>60</v>
      </c>
      <c r="K15" s="4" t="s">
        <f>IF(MIN(C15:H15)&gt;17,"Pass","Fail")</f>
        <v>7</v>
      </c>
    </row>
    <row r="16" spans="1:11" customHeight="1" ht="21.95">
      <c r="A16" s="14">
        <v>3714</v>
      </c>
      <c r="B16" s="12" t="inlineStr">
        <is>
          <t>Arun Katuwal</t>
        </is>
      </c>
      <c r="C16" s="9">
        <v>24</v>
      </c>
      <c r="D16" s="9">
        <v>22</v>
      </c>
      <c r="E16" s="9">
        <v>8</v>
      </c>
      <c r="F16" s="9">
        <v>11</v>
      </c>
      <c r="G16" s="9">
        <v>13</v>
      </c>
      <c r="H16" s="9">
        <v>21</v>
      </c>
      <c r="I16" s="9">
        <f>SUM(C16:H16)</f>
        <v>99</v>
      </c>
      <c r="J16" s="13">
        <f>I16/300*100</f>
        <v>33</v>
      </c>
      <c r="K16" s="4" t="s">
        <f>IF(MIN(C16:H16)&gt;17,"Pass","Fail")</f>
        <v>8</v>
      </c>
    </row>
    <row r="17" spans="1:11" customHeight="1" ht="21.95">
      <c r="A17" s="14">
        <v>3715</v>
      </c>
      <c r="B17" s="12" t="inlineStr">
        <is>
          <t>Aruna Ghale</t>
        </is>
      </c>
      <c r="C17" s="9">
        <v>30</v>
      </c>
      <c r="D17" s="9">
        <v>36</v>
      </c>
      <c r="E17" s="9">
        <v>32</v>
      </c>
      <c r="F17" s="9">
        <v>34</v>
      </c>
      <c r="G17" s="9">
        <v>40</v>
      </c>
      <c r="H17" s="9">
        <v>34</v>
      </c>
      <c r="I17" s="9">
        <f>SUM(C17:H17)</f>
        <v>206</v>
      </c>
      <c r="J17" s="13">
        <f>I17/300*100</f>
        <v>68.666666666666671</v>
      </c>
      <c r="K17" s="4" t="s">
        <f>IF(MIN(C17:H17)&gt;17,"Pass","Fail")</f>
        <v>7</v>
      </c>
    </row>
    <row r="18" spans="1:11" customHeight="1" ht="21.95">
      <c r="A18" s="14">
        <v>3716</v>
      </c>
      <c r="B18" s="12" t="inlineStr">
        <is>
          <t>Aukush Thapa</t>
        </is>
      </c>
      <c r="C18" s="9">
        <v>23</v>
      </c>
      <c r="D18" s="9">
        <v>33</v>
      </c>
      <c r="E18" s="9">
        <v>22</v>
      </c>
      <c r="F18" s="9">
        <v>18</v>
      </c>
      <c r="G18" s="9">
        <v>14</v>
      </c>
      <c r="H18" s="9">
        <v>23</v>
      </c>
      <c r="I18" s="9">
        <f>SUM(C18:H18)</f>
        <v>133</v>
      </c>
      <c r="J18" s="13">
        <f>I18/300*100</f>
        <v>44.333333333333336</v>
      </c>
      <c r="K18" s="4" t="s">
        <f>IF(MIN(C18:H18)&gt;17,"Pass","Fail")</f>
        <v>8</v>
      </c>
    </row>
    <row r="19" spans="1:11" customHeight="1" ht="21.95">
      <c r="A19" s="14">
        <v>3717</v>
      </c>
      <c r="B19" s="12" t="inlineStr">
        <is>
          <t>Babyson Rai</t>
        </is>
      </c>
      <c r="C19" s="9">
        <v>28</v>
      </c>
      <c r="D19" s="9">
        <v>31</v>
      </c>
      <c r="E19" s="9">
        <v>24</v>
      </c>
      <c r="F19" s="9">
        <v>5</v>
      </c>
      <c r="G19" s="9">
        <v>25</v>
      </c>
      <c r="H19" s="9">
        <v>32</v>
      </c>
      <c r="I19" s="9">
        <f>SUM(C19:H19)</f>
        <v>145</v>
      </c>
      <c r="J19" s="13">
        <f>I19/300*100</f>
        <v>48.333333333333336</v>
      </c>
      <c r="K19" s="4" t="s">
        <f>IF(MIN(C19:H19)&gt;17,"Pass","Fail")</f>
        <v>8</v>
      </c>
    </row>
    <row r="20" spans="1:11" customHeight="1" ht="21.95">
      <c r="A20" s="14">
        <v>3718</v>
      </c>
      <c r="B20" s="12" t="inlineStr">
        <is>
          <t>Bibek Niraula</t>
        </is>
      </c>
      <c r="C20" s="9">
        <v>26</v>
      </c>
      <c r="D20" s="9">
        <v>32</v>
      </c>
      <c r="E20" s="9">
        <v>27</v>
      </c>
      <c r="F20" s="9">
        <v>25</v>
      </c>
      <c r="G20" s="9">
        <v>31</v>
      </c>
      <c r="H20" s="9">
        <v>29</v>
      </c>
      <c r="I20" s="9">
        <f>SUM(C20:H20)</f>
        <v>170</v>
      </c>
      <c r="J20" s="13">
        <f>I20/300*100</f>
        <v>56.666666666666664</v>
      </c>
      <c r="K20" s="4" t="s">
        <f>IF(MIN(C20:H20)&gt;17,"Pass","Fail")</f>
        <v>7</v>
      </c>
    </row>
    <row r="21" spans="1:11" customHeight="1" ht="21.95">
      <c r="A21" s="14">
        <v>3719</v>
      </c>
      <c r="B21" s="12" t="inlineStr">
        <is>
          <t>Earusha Tamang</t>
        </is>
      </c>
      <c r="C21" s="2" t="s">
        <v>10</v>
      </c>
      <c r="D21" s="2" t="s">
        <v>9</v>
      </c>
      <c r="E21" s="2" t="s">
        <v>10</v>
      </c>
      <c r="F21" s="2" t="s">
        <v>10</v>
      </c>
      <c r="G21" s="2" t="s">
        <v>17</v>
      </c>
      <c r="H21" s="2" t="s">
        <v>10</v>
      </c>
      <c r="I21" s="9">
        <f>SUM(C21:H21)</f>
        <v>0</v>
      </c>
      <c r="J21" s="13">
        <f>I21/300*100</f>
        <v>0</v>
      </c>
      <c r="K21" s="4" t="s">
        <f>IF(MIN(C21:H21)&gt;17,"Pass","Fail")</f>
        <v>8</v>
      </c>
    </row>
    <row r="22" spans="1:11" customHeight="1" ht="21.95">
      <c r="A22" s="14">
        <v>3720</v>
      </c>
      <c r="B22" s="12" t="inlineStr">
        <is>
          <t>Jenisha Chaudhary</t>
        </is>
      </c>
      <c r="C22" s="9">
        <v>29</v>
      </c>
      <c r="D22" s="9">
        <v>33</v>
      </c>
      <c r="E22" s="9">
        <v>24</v>
      </c>
      <c r="F22" s="9">
        <v>9</v>
      </c>
      <c r="G22" s="9">
        <v>31</v>
      </c>
      <c r="H22" s="9">
        <v>27</v>
      </c>
      <c r="I22" s="9">
        <f>SUM(C22:H22)</f>
        <v>153</v>
      </c>
      <c r="J22" s="13">
        <f>I22/300*100</f>
        <v>51</v>
      </c>
      <c r="K22" s="4" t="s">
        <f>IF(MIN(C22:H22)&gt;17,"Pass","Fail")</f>
        <v>8</v>
      </c>
    </row>
    <row r="23" spans="1:11" customHeight="1" ht="21.95">
      <c r="A23" s="14">
        <v>3721</v>
      </c>
      <c r="B23" s="12" t="inlineStr">
        <is>
          <t>MD Afjal</t>
        </is>
      </c>
      <c r="C23" s="9">
        <v>27</v>
      </c>
      <c r="D23" s="9">
        <v>26</v>
      </c>
      <c r="E23" s="9">
        <v>17</v>
      </c>
      <c r="F23" s="9">
        <v>18</v>
      </c>
      <c r="G23" s="9">
        <v>21</v>
      </c>
      <c r="H23" s="9">
        <v>33</v>
      </c>
      <c r="I23" s="9">
        <f>SUM(C23:H23)</f>
        <v>142</v>
      </c>
      <c r="J23" s="13">
        <f>I23/300*100</f>
        <v>47.333333333333336</v>
      </c>
      <c r="K23" s="4" t="s">
        <f>IF(MIN(C23:H23)&gt;17,"Pass","Fail")</f>
        <v>8</v>
      </c>
    </row>
    <row r="24" spans="1:11" customHeight="1" ht="21.95">
      <c r="A24" s="14">
        <v>3722</v>
      </c>
      <c r="B24" s="12" t="inlineStr">
        <is>
          <t>Netra Bahadur BK</t>
        </is>
      </c>
      <c r="C24" s="9">
        <v>23</v>
      </c>
      <c r="D24" s="9">
        <v>32</v>
      </c>
      <c r="E24" s="9">
        <v>16</v>
      </c>
      <c r="F24" s="9">
        <v>13</v>
      </c>
      <c r="G24" s="9">
        <v>25</v>
      </c>
      <c r="H24" s="9">
        <v>20</v>
      </c>
      <c r="I24" s="9">
        <f>SUM(C24:H24)</f>
        <v>129</v>
      </c>
      <c r="J24" s="13">
        <f>I24/300*100</f>
        <v>43</v>
      </c>
      <c r="K24" s="4" t="s">
        <f>IF(MIN(C24:H24)&gt;17,"Pass","Fail")</f>
        <v>8</v>
      </c>
    </row>
    <row r="25" spans="1:11" customHeight="1" ht="21.95">
      <c r="A25" s="14">
        <v>3723</v>
      </c>
      <c r="B25" s="12" t="inlineStr">
        <is>
          <t>Nikesh Rana Magar</t>
        </is>
      </c>
      <c r="C25" s="9">
        <v>29</v>
      </c>
      <c r="D25" s="9">
        <v>27</v>
      </c>
      <c r="E25" s="9">
        <v>18</v>
      </c>
      <c r="F25" s="9">
        <v>18</v>
      </c>
      <c r="G25" s="9">
        <v>22</v>
      </c>
      <c r="H25" s="9">
        <v>29</v>
      </c>
      <c r="I25" s="9">
        <f>SUM(C25:H25)</f>
        <v>143</v>
      </c>
      <c r="J25" s="13">
        <f>I25/300*100</f>
        <v>47.666666666666671</v>
      </c>
      <c r="K25" s="4" t="s">
        <f>IF(MIN(C25:H25)&gt;17,"Pass","Fail")</f>
        <v>7</v>
      </c>
    </row>
    <row r="26" spans="1:11" customHeight="1" ht="21.95">
      <c r="A26" s="14">
        <v>3724</v>
      </c>
      <c r="B26" s="12" t="inlineStr">
        <is>
          <t>Nirmal Ghimire</t>
        </is>
      </c>
      <c r="C26" s="9">
        <v>34</v>
      </c>
      <c r="D26" s="9">
        <v>34</v>
      </c>
      <c r="E26" s="9">
        <v>28</v>
      </c>
      <c r="F26" s="9">
        <v>18</v>
      </c>
      <c r="G26" s="9">
        <v>27</v>
      </c>
      <c r="H26" s="9">
        <v>24</v>
      </c>
      <c r="I26" s="9">
        <f>SUM(C26:H26)</f>
        <v>165</v>
      </c>
      <c r="J26" s="13">
        <f>I26/300*100</f>
        <v>55.000000000000007</v>
      </c>
      <c r="K26" s="4" t="s">
        <f>IF(MIN(C26:H26)&gt;17,"Pass","Fail")</f>
        <v>7</v>
      </c>
    </row>
    <row r="27" spans="1:11" customHeight="1" ht="21.95">
      <c r="A27" s="14">
        <v>3725</v>
      </c>
      <c r="B27" s="12" t="inlineStr">
        <is>
          <t>Nirupesh Bista</t>
        </is>
      </c>
      <c r="C27" s="9">
        <v>26</v>
      </c>
      <c r="D27" s="9">
        <v>28</v>
      </c>
      <c r="E27" s="9">
        <v>15</v>
      </c>
      <c r="F27" s="9">
        <v>12</v>
      </c>
      <c r="G27" s="9">
        <v>20</v>
      </c>
      <c r="H27" s="9">
        <v>25</v>
      </c>
      <c r="I27" s="9">
        <f>SUM(C27:H27)</f>
        <v>126</v>
      </c>
      <c r="J27" s="13">
        <f>I27/300*100</f>
        <v>42</v>
      </c>
      <c r="K27" s="4" t="s">
        <f>IF(MIN(C27:H27)&gt;17,"Pass","Fail")</f>
        <v>8</v>
      </c>
    </row>
    <row r="28" spans="1:11" customHeight="1" ht="21.95">
      <c r="A28" s="14">
        <v>3726</v>
      </c>
      <c r="B28" s="12" t="inlineStr">
        <is>
          <t>Numabung Rai</t>
        </is>
      </c>
      <c r="C28" s="9">
        <v>32</v>
      </c>
      <c r="D28" s="9">
        <v>34</v>
      </c>
      <c r="E28" s="9">
        <v>21</v>
      </c>
      <c r="F28" s="9">
        <v>12</v>
      </c>
      <c r="G28" s="9">
        <v>30</v>
      </c>
      <c r="H28" s="9">
        <v>29</v>
      </c>
      <c r="I28" s="9">
        <f>SUM(C28:H28)</f>
        <v>158</v>
      </c>
      <c r="J28" s="13">
        <f>I28/300*100</f>
        <v>52.666666666666664</v>
      </c>
      <c r="K28" s="4" t="s">
        <f>IF(MIN(C28:H28)&gt;17,"Pass","Fail")</f>
        <v>8</v>
      </c>
    </row>
    <row r="29" spans="1:11" customHeight="1" ht="21.95">
      <c r="A29" s="14">
        <v>3727</v>
      </c>
      <c r="B29" s="12" t="inlineStr">
        <is>
          <t>Prapti Dhungana</t>
        </is>
      </c>
      <c r="C29" s="9">
        <v>38</v>
      </c>
      <c r="D29" s="9">
        <v>37</v>
      </c>
      <c r="E29" s="9">
        <v>28</v>
      </c>
      <c r="F29" s="9">
        <v>25</v>
      </c>
      <c r="G29" s="9">
        <v>36</v>
      </c>
      <c r="H29" s="9">
        <v>32</v>
      </c>
      <c r="I29" s="9">
        <f>SUM(C29:H29)</f>
        <v>196</v>
      </c>
      <c r="J29" s="13">
        <f>I29/300*100</f>
        <v>65.333333333333329</v>
      </c>
      <c r="K29" s="4" t="s">
        <f>IF(MIN(C29:H29)&gt;17,"Pass","Fail")</f>
        <v>7</v>
      </c>
    </row>
    <row r="30" spans="1:11" customHeight="1" ht="21.95">
      <c r="A30" s="14">
        <v>3728</v>
      </c>
      <c r="B30" s="12" t="inlineStr">
        <is>
          <t>Raj Kumar Chaudhary</t>
        </is>
      </c>
      <c r="C30" s="9">
        <v>28</v>
      </c>
      <c r="D30" s="9">
        <v>33</v>
      </c>
      <c r="E30" s="9">
        <v>23</v>
      </c>
      <c r="F30" s="9">
        <v>21</v>
      </c>
      <c r="G30" s="9">
        <v>26</v>
      </c>
      <c r="H30" s="9">
        <v>27</v>
      </c>
      <c r="I30" s="9">
        <f>SUM(C30:H30)</f>
        <v>158</v>
      </c>
      <c r="J30" s="13">
        <f>I30/300*100</f>
        <v>52.666666666666664</v>
      </c>
      <c r="K30" s="4" t="s">
        <f>IF(MIN(C30:H30)&gt;17,"Pass","Fail")</f>
        <v>7</v>
      </c>
    </row>
    <row r="31" spans="1:11" customHeight="1" ht="21.95">
      <c r="A31" s="14">
        <v>3729</v>
      </c>
      <c r="B31" s="12" t="inlineStr">
        <is>
          <t>Rashmi Khadka</t>
        </is>
      </c>
      <c r="C31" s="9">
        <v>30</v>
      </c>
      <c r="D31" s="9">
        <v>32</v>
      </c>
      <c r="E31" s="9">
        <v>18</v>
      </c>
      <c r="F31" s="9">
        <v>9</v>
      </c>
      <c r="G31" s="9">
        <v>11</v>
      </c>
      <c r="H31" s="9">
        <v>22</v>
      </c>
      <c r="I31" s="9">
        <f>SUM(C31:H31)</f>
        <v>122</v>
      </c>
      <c r="J31" s="13">
        <f>I31/300*100</f>
        <v>40.666666666666664</v>
      </c>
      <c r="K31" s="4" t="s">
        <f>IF(MIN(C31:H31)&gt;17,"Pass","Fail")</f>
        <v>8</v>
      </c>
    </row>
    <row r="32" spans="1:11" customHeight="1" ht="21.95">
      <c r="A32" s="14">
        <v>3730</v>
      </c>
      <c r="B32" s="12" t="inlineStr">
        <is>
          <t>Ritu Tamang</t>
        </is>
      </c>
      <c r="C32" s="9">
        <v>37</v>
      </c>
      <c r="D32" s="9">
        <v>40</v>
      </c>
      <c r="E32" s="9">
        <v>32</v>
      </c>
      <c r="F32" s="9">
        <v>25</v>
      </c>
      <c r="G32" s="9">
        <v>29</v>
      </c>
      <c r="H32" s="9">
        <v>32</v>
      </c>
      <c r="I32" s="9">
        <f>SUM(C32:H32)</f>
        <v>195</v>
      </c>
      <c r="J32" s="13">
        <f>I32/300*100</f>
        <v>65</v>
      </c>
      <c r="K32" s="4" t="s">
        <f>IF(MIN(C32:H32)&gt;17,"Pass","Fail")</f>
        <v>7</v>
      </c>
    </row>
    <row r="33" spans="1:11" customHeight="1" ht="21.95">
      <c r="A33" s="14">
        <v>3731</v>
      </c>
      <c r="B33" s="12" t="inlineStr">
        <is>
          <t>Riya Tamang</t>
        </is>
      </c>
      <c r="C33" s="9">
        <v>23</v>
      </c>
      <c r="D33" s="9">
        <v>33</v>
      </c>
      <c r="E33" s="9">
        <v>16</v>
      </c>
      <c r="F33" s="9">
        <v>11</v>
      </c>
      <c r="G33" s="9">
        <v>26</v>
      </c>
      <c r="H33" s="9">
        <v>27</v>
      </c>
      <c r="I33" s="9">
        <f>SUM(C33:H33)</f>
        <v>136</v>
      </c>
      <c r="J33" s="13">
        <f>I33/300*100</f>
        <v>45.333333333333329</v>
      </c>
      <c r="K33" s="4" t="s">
        <f>IF(MIN(C33:H33)&gt;17,"Pass","Fail")</f>
        <v>8</v>
      </c>
    </row>
    <row r="34" spans="1:11" customHeight="1" ht="21.95">
      <c r="A34" s="14">
        <v>3732</v>
      </c>
      <c r="B34" s="12" t="inlineStr">
        <is>
          <t>Rohan Sharma</t>
        </is>
      </c>
      <c r="C34" s="9">
        <v>20</v>
      </c>
      <c r="D34" s="9">
        <v>9</v>
      </c>
      <c r="E34" s="9">
        <v>3</v>
      </c>
      <c r="F34" s="9">
        <v>1</v>
      </c>
      <c r="G34" s="9">
        <v>14</v>
      </c>
      <c r="H34" s="9">
        <v>14</v>
      </c>
      <c r="I34" s="9">
        <f>SUM(C34:H34)</f>
        <v>61</v>
      </c>
      <c r="J34" s="13">
        <f>I34/300*100</f>
        <v>20.333333333333332</v>
      </c>
      <c r="K34" s="4" t="s">
        <f>IF(MIN(C34:H34)&gt;17,"Pass","Fail")</f>
        <v>8</v>
      </c>
    </row>
    <row r="35" spans="1:11" customHeight="1" ht="21.95">
      <c r="A35" s="14">
        <v>3733</v>
      </c>
      <c r="B35" s="12" t="inlineStr">
        <is>
          <t>Rosesh Chaudhary</t>
        </is>
      </c>
      <c r="C35" s="9">
        <v>27</v>
      </c>
      <c r="D35" s="9">
        <v>22</v>
      </c>
      <c r="E35" s="9">
        <v>16</v>
      </c>
      <c r="F35" s="9">
        <v>20</v>
      </c>
      <c r="G35" s="9">
        <v>20</v>
      </c>
      <c r="H35" s="9">
        <v>29</v>
      </c>
      <c r="I35" s="9">
        <f>SUM(C35:H35)</f>
        <v>134</v>
      </c>
      <c r="J35" s="13">
        <f>I35/300*100</f>
        <v>44.666666666666664</v>
      </c>
      <c r="K35" s="4" t="s">
        <f>IF(MIN(C35:H35)&gt;17,"Pass","Fail")</f>
        <v>8</v>
      </c>
    </row>
    <row r="36" spans="1:11" customHeight="1" ht="21.95">
      <c r="A36" s="14">
        <v>3734</v>
      </c>
      <c r="B36" s="12" t="inlineStr">
        <is>
          <t>Roshan Khadka</t>
        </is>
      </c>
      <c r="C36" s="9">
        <v>33</v>
      </c>
      <c r="D36" s="9">
        <v>38</v>
      </c>
      <c r="E36" s="9">
        <v>24</v>
      </c>
      <c r="F36" s="9">
        <v>31</v>
      </c>
      <c r="G36" s="9">
        <v>33</v>
      </c>
      <c r="H36" s="9">
        <v>32</v>
      </c>
      <c r="I36" s="9">
        <f>SUM(C36:H36)</f>
        <v>191</v>
      </c>
      <c r="J36" s="13">
        <f>I36/300*100</f>
        <v>63.666666666666671</v>
      </c>
      <c r="K36" s="4" t="s">
        <f>IF(MIN(C36:H36)&gt;17,"Pass","Fail")</f>
        <v>7</v>
      </c>
    </row>
    <row r="37" spans="1:11" customHeight="1" ht="21.95">
      <c r="A37" s="14">
        <v>3735</v>
      </c>
      <c r="B37" s="12" t="s">
        <v>18</v>
      </c>
      <c r="C37" s="9">
        <v>36</v>
      </c>
      <c r="D37" s="9">
        <v>30</v>
      </c>
      <c r="E37" s="9">
        <v>27</v>
      </c>
      <c r="F37" s="9">
        <v>22</v>
      </c>
      <c r="G37" s="9">
        <v>27</v>
      </c>
      <c r="H37" s="9">
        <v>35</v>
      </c>
      <c r="I37" s="9">
        <f>SUM(C37:H37)</f>
        <v>177</v>
      </c>
      <c r="J37" s="13">
        <f>I37/300*100</f>
        <v>59</v>
      </c>
      <c r="K37" s="4" t="s">
        <f>IF(MIN(C37:H37)&gt;17,"Pass","Fail")</f>
        <v>7</v>
      </c>
    </row>
    <row r="38" spans="1:11" customHeight="1" ht="21.95">
      <c r="A38" s="14">
        <v>3736</v>
      </c>
      <c r="B38" s="12" t="inlineStr">
        <is>
          <t>Salina Thapa</t>
        </is>
      </c>
      <c r="C38" s="9">
        <v>26</v>
      </c>
      <c r="D38" s="9">
        <v>32</v>
      </c>
      <c r="E38" s="9">
        <v>20</v>
      </c>
      <c r="F38" s="9">
        <v>20</v>
      </c>
      <c r="G38" s="9">
        <v>27</v>
      </c>
      <c r="H38" s="9">
        <v>20</v>
      </c>
      <c r="I38" s="9">
        <f>SUM(C38:H38)</f>
        <v>145</v>
      </c>
      <c r="J38" s="13">
        <f>I38/300*100</f>
        <v>48.333333333333336</v>
      </c>
      <c r="K38" s="4" t="s">
        <f>IF(MIN(C38:H38)&gt;17,"Pass","Fail")</f>
        <v>7</v>
      </c>
    </row>
    <row r="39" spans="1:11" customHeight="1" ht="21.95">
      <c r="A39" s="14">
        <v>3737</v>
      </c>
      <c r="B39" s="12" t="inlineStr">
        <is>
          <t>Samiksha Shrestha</t>
        </is>
      </c>
      <c r="C39" s="9">
        <v>34</v>
      </c>
      <c r="D39" s="9">
        <v>30</v>
      </c>
      <c r="E39" s="9">
        <v>23</v>
      </c>
      <c r="F39" s="9">
        <v>8</v>
      </c>
      <c r="G39" s="9">
        <v>18</v>
      </c>
      <c r="H39" s="9">
        <v>20</v>
      </c>
      <c r="I39" s="9">
        <f>SUM(C39:H39)</f>
        <v>133</v>
      </c>
      <c r="J39" s="13">
        <f>I39/300*100</f>
        <v>44.333333333333336</v>
      </c>
      <c r="K39" s="4" t="s">
        <f>IF(MIN(C39:H39)&gt;17,"Pass","Fail")</f>
        <v>8</v>
      </c>
    </row>
    <row r="40" spans="1:11" customHeight="1" ht="21.95">
      <c r="A40" s="14">
        <v>3738</v>
      </c>
      <c r="B40" s="12" t="inlineStr">
        <is>
          <t>Sandhya Rai</t>
        </is>
      </c>
      <c r="C40" s="9">
        <v>29</v>
      </c>
      <c r="D40" s="9">
        <v>36</v>
      </c>
      <c r="E40" s="9">
        <v>20</v>
      </c>
      <c r="F40" s="9">
        <v>19</v>
      </c>
      <c r="G40" s="9">
        <v>19</v>
      </c>
      <c r="H40" s="9">
        <v>18</v>
      </c>
      <c r="I40" s="9">
        <f>SUM(C40:H40)</f>
        <v>141</v>
      </c>
      <c r="J40" s="13">
        <f>I40/300*100</f>
        <v>47</v>
      </c>
      <c r="K40" s="4" t="s">
        <f>IF(MIN(C40:H40)&gt;17,"Pass","Fail")</f>
        <v>7</v>
      </c>
    </row>
    <row r="41" spans="1:11" customHeight="1" ht="21.95">
      <c r="A41" s="14">
        <v>3739</v>
      </c>
      <c r="B41" s="12" t="s">
        <v>24</v>
      </c>
      <c r="C41" s="9">
        <v>18</v>
      </c>
      <c r="D41" s="9">
        <v>12</v>
      </c>
      <c r="E41" s="9">
        <v>1</v>
      </c>
      <c r="F41" s="9">
        <v>6</v>
      </c>
      <c r="G41" s="9">
        <v>10</v>
      </c>
      <c r="H41" s="9">
        <v>6</v>
      </c>
      <c r="I41" s="9">
        <f>SUM(C41:H41)</f>
        <v>53</v>
      </c>
      <c r="J41" s="13">
        <f>I41/300*100</f>
        <v>17.666666666666668</v>
      </c>
      <c r="K41" s="4" t="s">
        <f>IF(MIN(C41:H41)&gt;17,"Pass","Fail")</f>
        <v>8</v>
      </c>
    </row>
    <row r="42" spans="1:11" customHeight="1" ht="21.95">
      <c r="A42" s="14">
        <v>3740</v>
      </c>
      <c r="B42" s="12" t="inlineStr">
        <is>
          <t>Shital Dahal</t>
        </is>
      </c>
      <c r="C42" s="9">
        <v>32</v>
      </c>
      <c r="D42" s="9">
        <v>35</v>
      </c>
      <c r="E42" s="9">
        <v>25</v>
      </c>
      <c r="F42" s="9">
        <v>18</v>
      </c>
      <c r="G42" s="9">
        <v>16</v>
      </c>
      <c r="H42" s="9">
        <v>25</v>
      </c>
      <c r="I42" s="9">
        <f>SUM(C42:H42)</f>
        <v>151</v>
      </c>
      <c r="J42" s="13">
        <f>I42/300*100</f>
        <v>50.333333333333329</v>
      </c>
      <c r="K42" s="4" t="s">
        <f>IF(MIN(C42:H42)&gt;17,"Pass","Fail")</f>
        <v>8</v>
      </c>
    </row>
    <row r="43" spans="1:11" customHeight="1" ht="21.95">
      <c r="A43" s="14">
        <v>3741</v>
      </c>
      <c r="B43" s="12" t="inlineStr">
        <is>
          <t>Shivraj Rai</t>
        </is>
      </c>
      <c r="C43" s="9">
        <v>23</v>
      </c>
      <c r="D43" s="9">
        <v>14</v>
      </c>
      <c r="E43" s="9">
        <v>5</v>
      </c>
      <c r="F43" s="9">
        <v>4</v>
      </c>
      <c r="G43" s="9">
        <v>3</v>
      </c>
      <c r="H43" s="9">
        <v>5</v>
      </c>
      <c r="I43" s="9">
        <f>SUM(C43:H43)</f>
        <v>54</v>
      </c>
      <c r="J43" s="13">
        <f>I43/300*100</f>
        <v>18</v>
      </c>
      <c r="K43" s="4" t="s">
        <f>IF(MIN(C43:H43)&gt;17,"Pass","Fail")</f>
        <v>8</v>
      </c>
    </row>
    <row r="44" spans="1:11" customHeight="1" ht="21.95">
      <c r="A44" s="14">
        <v>3742</v>
      </c>
      <c r="B44" s="12" t="inlineStr">
        <is>
          <t>Simran Chaudhary</t>
        </is>
      </c>
      <c r="C44" s="9">
        <v>27</v>
      </c>
      <c r="D44" s="9">
        <v>36</v>
      </c>
      <c r="E44" s="9">
        <v>25</v>
      </c>
      <c r="F44" s="9">
        <v>12</v>
      </c>
      <c r="G44" s="9">
        <v>15</v>
      </c>
      <c r="H44" s="9">
        <v>16</v>
      </c>
      <c r="I44" s="9">
        <f>SUM(C44:H44)</f>
        <v>131</v>
      </c>
      <c r="J44" s="13">
        <f>I44/300*100</f>
        <v>43.666666666666664</v>
      </c>
      <c r="K44" s="4" t="s">
        <f>IF(MIN(C44:H44)&gt;17,"Pass","Fail")</f>
        <v>8</v>
      </c>
    </row>
    <row r="45" spans="1:11" customHeight="1" ht="21.95">
      <c r="A45" s="14">
        <v>3743</v>
      </c>
      <c r="B45" s="12" t="inlineStr">
        <is>
          <t>Sristi Giri</t>
        </is>
      </c>
      <c r="C45" s="9">
        <v>23</v>
      </c>
      <c r="D45" s="9">
        <v>33</v>
      </c>
      <c r="E45" s="9">
        <v>21</v>
      </c>
      <c r="F45" s="9">
        <v>7</v>
      </c>
      <c r="G45" s="9">
        <v>5</v>
      </c>
      <c r="H45" s="9">
        <v>15</v>
      </c>
      <c r="I45" s="9">
        <f>SUM(C45:H45)</f>
        <v>104</v>
      </c>
      <c r="J45" s="13">
        <f>I45/300*100</f>
        <v>34.666666666666671</v>
      </c>
      <c r="K45" s="4" t="s">
        <f>IF(MIN(C45:H45)&gt;17,"Pass","Fail")</f>
        <v>8</v>
      </c>
    </row>
    <row r="46" spans="1:11" customHeight="1" ht="21.95">
      <c r="A46" s="14">
        <v>3744</v>
      </c>
      <c r="B46" s="12" t="inlineStr">
        <is>
          <t>Supgiyam Chaudhary</t>
        </is>
      </c>
      <c r="C46" s="9">
        <v>26</v>
      </c>
      <c r="D46" s="9">
        <v>29</v>
      </c>
      <c r="E46" s="9">
        <v>20</v>
      </c>
      <c r="F46" s="9">
        <v>8</v>
      </c>
      <c r="G46" s="9">
        <v>8</v>
      </c>
      <c r="H46" s="9">
        <v>25</v>
      </c>
      <c r="I46" s="9">
        <f>SUM(C46:H46)</f>
        <v>116</v>
      </c>
      <c r="J46" s="13">
        <f>I46/300*100</f>
        <v>38.666666666666664</v>
      </c>
      <c r="K46" s="4" t="s">
        <f>IF(MIN(C46:H46)&gt;17,"Pass","Fail")</f>
        <v>8</v>
      </c>
    </row>
    <row r="47" spans="1:11" customHeight="1" ht="21.95">
      <c r="A47" s="14">
        <v>3745</v>
      </c>
      <c r="B47" s="12" t="inlineStr">
        <is>
          <t>Swarnima Dahal</t>
        </is>
      </c>
      <c r="C47" s="9">
        <v>19</v>
      </c>
      <c r="D47" s="9">
        <v>31</v>
      </c>
      <c r="E47" s="9">
        <v>11</v>
      </c>
      <c r="F47" s="9">
        <v>2</v>
      </c>
      <c r="G47" s="9">
        <v>18</v>
      </c>
      <c r="H47" s="9">
        <v>14</v>
      </c>
      <c r="I47" s="9">
        <f>SUM(C47:H47)</f>
        <v>95</v>
      </c>
      <c r="J47" s="13">
        <f>I47/300*100</f>
        <v>31.666666666666664</v>
      </c>
      <c r="K47" s="4" t="s">
        <f>IF(MIN(C47:H47)&gt;17,"Pass","Fail")</f>
        <v>8</v>
      </c>
    </row>
    <row r="48" spans="1:11" customHeight="1" ht="21.95">
      <c r="A48" s="14">
        <v>3746</v>
      </c>
      <c r="B48" s="12" t="inlineStr">
        <is>
          <t>Yashika Karki</t>
        </is>
      </c>
      <c r="C48" s="9">
        <v>37</v>
      </c>
      <c r="D48" s="9">
        <v>42</v>
      </c>
      <c r="E48" s="9">
        <v>24</v>
      </c>
      <c r="F48" s="9">
        <v>24</v>
      </c>
      <c r="G48" s="9">
        <v>31</v>
      </c>
      <c r="H48" s="9">
        <v>30</v>
      </c>
      <c r="I48" s="9">
        <f>SUM(C48:H48)</f>
        <v>188</v>
      </c>
      <c r="J48" s="13">
        <f>I48/300*100</f>
        <v>62.666666666666671</v>
      </c>
      <c r="K48" s="4" t="s">
        <f>IF(MIN(C48:H48)&gt;17,"Pass","Fail")</f>
        <v>7</v>
      </c>
    </row>
    <row r="49" spans="1:11" customHeight="1" ht="21.95">
      <c r="A49" s="14">
        <v>3747</v>
      </c>
      <c r="B49" s="12" t="inlineStr">
        <is>
          <t>Sneha Bhattarai</t>
        </is>
      </c>
      <c r="C49" s="9">
        <v>25</v>
      </c>
      <c r="D49" s="9">
        <v>35</v>
      </c>
      <c r="E49" s="9">
        <v>20</v>
      </c>
      <c r="F49" s="9">
        <v>20</v>
      </c>
      <c r="G49" s="9">
        <v>26</v>
      </c>
      <c r="H49" s="9">
        <v>27</v>
      </c>
      <c r="I49" s="9">
        <f>SUM(C49:H49)</f>
        <v>153</v>
      </c>
      <c r="J49" s="13">
        <f>I49/300*100</f>
        <v>51</v>
      </c>
      <c r="K49" s="4" t="s">
        <f>IF(MIN(C49:H49)&gt;17,"Pass","Fail")</f>
        <v>7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>
    <mergeCell ref="B1:D1"/>
  </mergeCells>
  <printOptions/>
  <pageMargins left="0.7" right="0.7" top="0.75" bottom="0.75" header="0.3" footer="0.3"/>
  <pageSetup blackAndWhite="0" cellComments="asDisplayed" draft="0" errors="displayed" orientation="portrait" pageOrder="downThenOver" paperSize="9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1.1259</AppVersion>
  <Company/>
  <LinksUpToDate>0</LinksUpToDate>
  <ScaleCrop>0</ScaleCrop>
  <DocSecurity>0</DocSecurity>
  <HyperlinksChanged>0</HyperlinksChanged>
  <SharedDoc>0</SharedDoc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lastModifiedBy/>
  <dcterms:modified xsi:type="dcterms:W3CDTF">2025-11-10T02:08:57Z</dcterms:modified>
  <dcterms:created xsi:type="dcterms:W3CDTF">2006-09-16T00:00:00Z</dcterms:created>
  <dc:creator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